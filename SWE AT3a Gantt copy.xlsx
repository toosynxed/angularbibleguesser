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codeName="ThisWorkbook"/>
  <mc:AlternateContent xmlns:mc="http://schemas.openxmlformats.org/markup-compatibility/2006">
    <mc:Choice Requires="x15">
      <x15ac:absPath xmlns:x15ac="http://schemas.microsoft.com/office/spreadsheetml/2010/11/ac" url="https://kingsnsw.sharepoint.com/sites/ClassFileShares/12SENX_2026/12SENX_2026 Eamon Wong (1054345)/12SENX AT3/"/>
    </mc:Choice>
  </mc:AlternateContent>
  <xr:revisionPtr revIDLastSave="269" documentId="8_{387CEE62-7634-0343-8CB8-B2AE55700C0F}" xr6:coauthVersionLast="47" xr6:coauthVersionMax="47" xr10:uidLastSave="{84AEFEEF-3464-2C40-99D0-EED8041E8887}"/>
  <bookViews>
    <workbookView xWindow="1220" yWindow="640" windowWidth="31480" windowHeight="18160"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11" l="1"/>
  <c r="F12" i="11" s="1"/>
  <c r="Q1" i="11"/>
  <c r="H7" i="11"/>
  <c r="E9" i="11" l="1"/>
  <c r="I5" i="11"/>
  <c r="I4" i="11" s="1"/>
  <c r="H42" i="11"/>
  <c r="H41" i="11"/>
  <c r="H36" i="11"/>
  <c r="H19" i="11"/>
  <c r="H14" i="11"/>
  <c r="H8" i="11"/>
  <c r="F9" i="11" l="1"/>
  <c r="H9" i="11" s="1"/>
  <c r="I6" i="11"/>
  <c r="J5" i="11" l="1"/>
  <c r="K5" i="11" s="1"/>
  <c r="L5" i="11" s="1"/>
  <c r="M5" i="11" s="1"/>
  <c r="N5" i="11" s="1"/>
  <c r="O5" i="11" s="1"/>
  <c r="P5" i="11" s="1"/>
  <c r="H10" i="11" l="1"/>
  <c r="P4" i="11"/>
  <c r="Q5" i="11"/>
  <c r="R5" i="11" s="1"/>
  <c r="S5" i="11" s="1"/>
  <c r="T5" i="11" s="1"/>
  <c r="U5" i="11" s="1"/>
  <c r="V5" i="11" s="1"/>
  <c r="W5" i="11" s="1"/>
  <c r="J6" i="11"/>
  <c r="H11" i="11" l="1"/>
  <c r="W4" i="11"/>
  <c r="X5" i="11"/>
  <c r="Y5" i="11" s="1"/>
  <c r="Z5" i="11" s="1"/>
  <c r="AA5" i="11" s="1"/>
  <c r="AB5" i="11" s="1"/>
  <c r="AC5" i="11" s="1"/>
  <c r="AD5" i="11" s="1"/>
  <c r="K6" i="11"/>
  <c r="H12" i="11" l="1"/>
  <c r="H13" i="11"/>
  <c r="AE5" i="11"/>
  <c r="AF5" i="11" s="1"/>
  <c r="AG5" i="11" s="1"/>
  <c r="AH5" i="11" s="1"/>
  <c r="AI5" i="11" s="1"/>
  <c r="AJ5" i="11" s="1"/>
  <c r="AD4" i="11"/>
  <c r="L6" i="11"/>
  <c r="H15" i="11" l="1"/>
  <c r="AK5" i="11"/>
  <c r="AL5" i="11" s="1"/>
  <c r="AM5" i="11" s="1"/>
  <c r="AN5" i="11" s="1"/>
  <c r="AO5" i="11" s="1"/>
  <c r="AP5" i="11" s="1"/>
  <c r="AQ5" i="11" s="1"/>
  <c r="M6" i="11"/>
  <c r="H16" i="11" l="1"/>
  <c r="AR5" i="11"/>
  <c r="AS5" i="11" s="1"/>
  <c r="AK4" i="11"/>
  <c r="N6" i="11"/>
  <c r="H17" i="11" l="1"/>
  <c r="AT5" i="11"/>
  <c r="AS6" i="11"/>
  <c r="AR4" i="11"/>
  <c r="O6" i="11"/>
  <c r="H18" i="11" l="1"/>
  <c r="AU5" i="11"/>
  <c r="AT6" i="11"/>
  <c r="H20" i="11" l="1"/>
  <c r="AV5" i="11"/>
  <c r="AU6" i="11"/>
  <c r="P6" i="11"/>
  <c r="Q6" i="11"/>
  <c r="H40" i="11" l="1"/>
  <c r="H22" i="11"/>
  <c r="AW5" i="11"/>
  <c r="AV6" i="11"/>
  <c r="R6" i="11"/>
  <c r="H27" i="11" l="1"/>
  <c r="H30" i="11"/>
  <c r="H24" i="11"/>
  <c r="H37" i="11"/>
  <c r="E38" i="11"/>
  <c r="AX5" i="11"/>
  <c r="AY5" i="11" s="1"/>
  <c r="AW6" i="11"/>
  <c r="S6" i="11"/>
  <c r="H39" i="11" l="1"/>
  <c r="H38" i="11"/>
  <c r="AY6" i="1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M5" i="11" s="1"/>
  <c r="BK6" i="11"/>
  <c r="AF6" i="11"/>
  <c r="BN5" i="11" l="1"/>
  <c r="BM4" i="11"/>
  <c r="BM6" i="11"/>
  <c r="BL6" i="11"/>
  <c r="AG6" i="11"/>
  <c r="BO5" i="11" l="1"/>
  <c r="BN6" i="11"/>
  <c r="AH6" i="11"/>
  <c r="BP5" i="11" l="1"/>
  <c r="BO6" i="11"/>
  <c r="AI6" i="11"/>
  <c r="BQ5" i="11" l="1"/>
  <c r="BP6" i="11"/>
  <c r="AJ6" i="11"/>
  <c r="BR5" i="11" l="1"/>
  <c r="BQ6" i="11"/>
  <c r="AK6" i="11"/>
  <c r="BS5" i="11" l="1"/>
  <c r="BR6" i="11"/>
  <c r="AL6" i="11"/>
  <c r="BT5" i="11" l="1"/>
  <c r="BS6" i="11"/>
  <c r="AM6" i="11"/>
  <c r="BT6" i="11" l="1"/>
  <c r="BU5" i="11"/>
  <c r="BT4" i="11"/>
  <c r="AN6" i="11"/>
  <c r="BV5" i="11" l="1"/>
  <c r="BU6" i="11"/>
  <c r="AO6" i="11"/>
  <c r="BW5" i="11" l="1"/>
  <c r="BV6" i="11"/>
  <c r="AP6" i="11"/>
  <c r="BX5" i="11" l="1"/>
  <c r="BW6" i="11"/>
  <c r="AQ6" i="11"/>
  <c r="BY5" i="11" l="1"/>
  <c r="BX6" i="11"/>
  <c r="AR6" i="11"/>
  <c r="BZ5" i="11" l="1"/>
  <c r="BY6" i="11"/>
  <c r="CA5" i="11" l="1"/>
  <c r="BZ6" i="11"/>
  <c r="CA4" i="11" l="1"/>
  <c r="CA6" i="11"/>
  <c r="CB5" i="11"/>
  <c r="CC5" i="11" l="1"/>
  <c r="CB6" i="11"/>
  <c r="CC6" i="11" l="1"/>
  <c r="CD5" i="11"/>
  <c r="CD6" i="11" l="1"/>
  <c r="CE5" i="11"/>
  <c r="CE6" i="11" l="1"/>
  <c r="CF5" i="11"/>
  <c r="CG5" i="11" l="1"/>
  <c r="CF6" i="11"/>
  <c r="CH5" i="11" l="1"/>
  <c r="CG6" i="11"/>
  <c r="CI5" i="11" l="1"/>
  <c r="CH6" i="11"/>
  <c r="CH4" i="11"/>
  <c r="CJ5" i="11" l="1"/>
  <c r="CI6" i="11"/>
  <c r="CK5" i="11" l="1"/>
  <c r="CJ6" i="11"/>
  <c r="CK6" i="11" l="1"/>
  <c r="CL5" i="11"/>
  <c r="CL6" i="11" l="1"/>
  <c r="CM5" i="11"/>
  <c r="CM6" i="11" l="1"/>
  <c r="CN5" i="11"/>
  <c r="CN6" i="11" s="1"/>
</calcChain>
</file>

<file path=xl/sharedStrings.xml><?xml version="1.0" encoding="utf-8"?>
<sst xmlns="http://schemas.openxmlformats.org/spreadsheetml/2006/main" count="83" uniqueCount="65">
  <si>
    <t>AT3</t>
  </si>
  <si>
    <t>Project start:</t>
  </si>
  <si>
    <t>Eamon Wong</t>
  </si>
  <si>
    <t>Display week:</t>
  </si>
  <si>
    <t>TASK</t>
  </si>
  <si>
    <t>TIME</t>
  </si>
  <si>
    <t>PROGRESS</t>
  </si>
  <si>
    <t>START</t>
  </si>
  <si>
    <t>END</t>
  </si>
  <si>
    <t xml:space="preserve">Do not delete this row. This row is hidden to preserve a formula that is used to highlight the current day within the project schedule. </t>
  </si>
  <si>
    <t>Initiation</t>
  </si>
  <si>
    <t>Client Scenario</t>
  </si>
  <si>
    <t>45 min</t>
  </si>
  <si>
    <t>Environment Specifications</t>
  </si>
  <si>
    <t>1 hour</t>
  </si>
  <si>
    <t>List of Objectives</t>
  </si>
  <si>
    <t>Performance Criteria</t>
  </si>
  <si>
    <t>IPO Charts</t>
  </si>
  <si>
    <t>1.5 hours</t>
  </si>
  <si>
    <t>Planning and design</t>
  </si>
  <si>
    <t>Research</t>
  </si>
  <si>
    <t>3 hours</t>
  </si>
  <si>
    <t>Data Flow Diagrams</t>
  </si>
  <si>
    <t>2.5 hours</t>
  </si>
  <si>
    <t>Storyboard</t>
  </si>
  <si>
    <t>2 hours</t>
  </si>
  <si>
    <t>Pseudocode</t>
  </si>
  <si>
    <t>Execution</t>
  </si>
  <si>
    <t>5 hours</t>
  </si>
  <si>
    <t>4 hours</t>
  </si>
  <si>
    <t>Evaluation</t>
  </si>
  <si>
    <t>Video Walkthrough</t>
  </si>
  <si>
    <t>Final Reviews</t>
  </si>
  <si>
    <t>Insert new rows ABOVE this one</t>
  </si>
  <si>
    <t>SIMPLE GANTT CHART by Vertex42.com</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</si>
  <si>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</si>
  <si>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</si>
  <si>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</si>
  <si>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</si>
  <si>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</si>
  <si>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</si>
  <si>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</si>
  <si>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</si>
  <si>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</si>
  <si>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</si>
  <si>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</si>
  <si>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</si>
  <si>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</si>
  <si>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Database security</t>
  </si>
  <si>
    <t>Session management</t>
  </si>
  <si>
    <t>Error Handling</t>
  </si>
  <si>
    <t>Webpage speed improvements</t>
  </si>
  <si>
    <t xml:space="preserve">Input sanitisation </t>
  </si>
  <si>
    <t>Real-time database</t>
  </si>
  <si>
    <t>Offline capabilities</t>
  </si>
  <si>
    <t>New Game Mode</t>
  </si>
  <si>
    <t>Experimental video mode</t>
  </si>
  <si>
    <t>Online Question Set “Board”</t>
  </si>
  <si>
    <t>Lobby mini-game</t>
  </si>
  <si>
    <t>Improved settings menu</t>
  </si>
  <si>
    <t>Profile personalisation</t>
  </si>
  <si>
    <t xml:space="preserve">AI-Assistant </t>
  </si>
  <si>
    <t>Contrast Options</t>
  </si>
  <si>
    <t>User Profile Shop</t>
  </si>
  <si>
    <t>3.5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</si>
</sst>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m/d/yy;@"/>
    <numFmt numFmtId="165" formatCode="ddd\,\ m/d/yyyy"/>
    <numFmt numFmtId="166" formatCode="mmm\ d\,\ yyyy"/>
    <numFmt numFmtId="167" formatCode="d"/>
    <numFmt numFmtId="168" formatCode="dd/mm/yy;@"/>
  </numFmts>
  <fonts count="33"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
      <b/>
      <u/>
      <sz val="11"/>
      <color theme="1"/>
      <name val="Arial"/>
      <family val="2"/>
      <scheme val="minor"/>
    </font>
    <font>
      <b/>
      <u/>
      <sz val="11"/>
      <color rgb="FF000000"/>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1">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3">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8"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29" fillId="0" borderId="0" xfId="0" applyFont="1" applyAlignment="1">
      <alignment horizontal="left" vertical="top" wrapText="1" indent="1"/>
    </xf>
    <xf numFmtId="0" fontId="0" fillId="0" borderId="0" xfId="0" applyAlignment="1">
      <alignment horizontal="left" vertical="top" wrapText="1" indent="1"/>
    </xf>
    <xf numFmtId="0" fontId="30" fillId="0" borderId="0" xfId="1" applyFont="1" applyAlignment="1" applyProtection="1">
      <alignment horizontal="left" vertical="top" indent="1"/>
    </xf>
    <xf numFmtId="0" fontId="1" fillId="0" borderId="0" xfId="0" applyFont="1" applyAlignment="1">
      <alignment horizontal="left" vertical="top" indent="1"/>
    </xf>
    <xf numFmtId="0" fontId="31" fillId="0" borderId="0" xfId="0" applyFont="1"/>
    <xf numFmtId="0" fontId="32" fillId="0" borderId="0" xfId="0" applyFont="1"/>
    <xf numFmtId="168" fontId="19" fillId="3" borderId="7" xfId="10" applyNumberFormat="1" applyFont="1" applyFill="1" applyBorder="1">
      <alignment horizontal="center" vertical="center"/>
    </xf>
    <xf numFmtId="0" fontId="19" fillId="5" borderId="8" xfId="12" applyFont="1" applyFill="1" applyBorder="1" applyAlignment="1">
      <alignment horizontal="left" vertical="center" wrapText="1" indent="2"/>
    </xf>
    <xf numFmtId="0" fontId="19" fillId="5" borderId="0" xfId="12" applyFont="1" applyFill="1" applyBorder="1" applyAlignment="1">
      <alignment horizontal="left" vertical="center" wrapText="1" indent="2"/>
    </xf>
    <xf numFmtId="0" fontId="19" fillId="5" borderId="0" xfId="11" applyFont="1" applyFill="1" applyBorder="1" applyAlignment="1">
      <alignment vertical="center"/>
    </xf>
    <xf numFmtId="9" fontId="1" fillId="5" borderId="0" xfId="2" applyFont="1" applyFill="1" applyBorder="1" applyAlignment="1">
      <alignment horizontal="center" vertical="center"/>
    </xf>
    <xf numFmtId="164" fontId="19" fillId="5" borderId="0" xfId="10" applyFont="1" applyFill="1" applyBorder="1">
      <alignment horizontal="center" vertical="center"/>
    </xf>
    <xf numFmtId="166" fontId="19" fillId="2" borderId="13" xfId="0" applyNumberFormat="1" applyFont="1" applyFill="1" applyBorder="1" applyAlignment="1">
      <alignment horizontal="center" vertical="center" wrapText="1"/>
    </xf>
    <xf numFmtId="0" fontId="13" fillId="0" borderId="0" xfId="3" applyAlignment="1">
      <alignment wrapText="1"/>
    </xf>
    <xf numFmtId="0" fontId="20" fillId="11" borderId="16" xfId="0" applyFont="1" applyFill="1" applyBorder="1" applyAlignment="1">
      <alignment horizontal="left" vertical="center" indent="1"/>
    </xf>
    <xf numFmtId="0" fontId="20" fillId="11" borderId="16" xfId="0" applyFont="1" applyFill="1" applyBorder="1" applyAlignment="1">
      <alignment vertical="center"/>
    </xf>
    <xf numFmtId="0" fontId="20" fillId="11" borderId="16" xfId="0" applyFont="1" applyFill="1" applyBorder="1" applyAlignment="1">
      <alignment horizontal="center" vertical="center"/>
    </xf>
    <xf numFmtId="0" fontId="27" fillId="0" borderId="0" xfId="0" applyFont="1" applyAlignment="1">
      <alignment horizontal="left"/>
    </xf>
    <xf numFmtId="165" fontId="27" fillId="0" borderId="0" xfId="9" applyFont="1" applyBorder="1" applyAlignment="1">
      <alignment horizontal="left"/>
    </xf>
    <xf numFmtId="0" fontId="26" fillId="0" borderId="0" xfId="8" applyFont="1" applyAlignment="1">
      <alignment horizontal="left"/>
    </xf>
    <xf numFmtId="166" fontId="19" fillId="2" borderId="18" xfId="0" applyNumberFormat="1" applyFont="1" applyFill="1" applyBorder="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N75"/>
  <sheetViews>
    <sheetView showGridLines="0" tabSelected="1" showRuler="0" topLeftCell="A10" zoomScale="86" zoomScaleNormal="100" zoomScalePageLayoutView="70" workbookViewId="0">
      <selection activeCell="AB19" sqref="AB19"/>
    </sheetView>
  </sheetViews>
  <sheetFormatPr baseColWidth="10" defaultColWidth="8.6640625" defaultRowHeight="30" customHeight="1" x14ac:dyDescent="0.15"/>
  <cols>
    <col min="1" max="1" width="2.6640625" style="13" customWidth="1"/>
    <col min="2" max="2" width="22.6640625" customWidth="1"/>
    <col min="3" max="3" width="16.6640625" customWidth="1"/>
    <col min="4" max="4" width="10.6640625" customWidth="1"/>
    <col min="5" max="5" width="10.6640625" style="2" customWidth="1"/>
    <col min="6" max="6" width="10.6640625" customWidth="1"/>
    <col min="7" max="7" width="2.6640625" customWidth="1"/>
    <col min="8" max="8" width="2.83203125" customWidth="1"/>
    <col min="9" max="64" width="2.6640625" customWidth="1"/>
    <col min="65" max="66" width="2.5" bestFit="1" customWidth="1"/>
    <col min="67" max="67" width="2.83203125" bestFit="1" customWidth="1"/>
    <col min="68" max="68" width="2.5" bestFit="1" customWidth="1"/>
    <col min="69" max="89" width="3.33203125" bestFit="1" customWidth="1"/>
    <col min="90" max="92" width="2.5" bestFit="1" customWidth="1"/>
  </cols>
  <sheetData>
    <row r="1" spans="1:92" ht="90" customHeight="1" x14ac:dyDescent="0.85">
      <c r="A1" s="14"/>
      <c r="B1" s="98" t="s">
        <v>0</v>
      </c>
      <c r="C1" s="18"/>
      <c r="D1" s="19"/>
      <c r="E1" s="20"/>
      <c r="F1" s="21"/>
      <c r="H1" s="1"/>
      <c r="I1" s="121" t="s">
        <v>1</v>
      </c>
      <c r="J1" s="121"/>
      <c r="K1" s="121"/>
      <c r="L1" s="121"/>
      <c r="M1" s="121"/>
      <c r="N1" s="121"/>
      <c r="O1" s="121"/>
      <c r="P1" s="24"/>
      <c r="Q1" s="120">
        <f>DATE(2026,2,12)</f>
        <v>46065</v>
      </c>
      <c r="R1" s="120"/>
      <c r="S1" s="120"/>
      <c r="T1" s="120"/>
      <c r="U1" s="120"/>
      <c r="V1" s="120"/>
      <c r="W1" s="120"/>
      <c r="X1" s="120"/>
      <c r="Y1" s="120"/>
      <c r="Z1" s="120"/>
    </row>
    <row r="2" spans="1:92" ht="30" customHeight="1" x14ac:dyDescent="0.4">
      <c r="B2" s="96" t="s">
        <v>2</v>
      </c>
      <c r="C2" s="97"/>
      <c r="D2" s="22"/>
      <c r="E2" s="23"/>
      <c r="F2" s="22"/>
      <c r="I2" s="121" t="s">
        <v>3</v>
      </c>
      <c r="J2" s="121"/>
      <c r="K2" s="121"/>
      <c r="L2" s="121"/>
      <c r="M2" s="121"/>
      <c r="N2" s="121"/>
      <c r="O2" s="121"/>
      <c r="P2" s="24"/>
      <c r="Q2" s="119">
        <v>1</v>
      </c>
      <c r="R2" s="119"/>
      <c r="S2" s="119"/>
      <c r="T2" s="119"/>
      <c r="U2" s="119"/>
      <c r="V2" s="119"/>
      <c r="W2" s="119"/>
      <c r="X2" s="119"/>
      <c r="Y2" s="119"/>
      <c r="Z2" s="119"/>
    </row>
    <row r="3" spans="1:92" s="26" customFormat="1" ht="30" customHeight="1" x14ac:dyDescent="0.15">
      <c r="A3" s="13"/>
      <c r="B3" s="25"/>
      <c r="D3" s="27"/>
      <c r="E3" s="28"/>
    </row>
    <row r="4" spans="1:92" s="26" customFormat="1" ht="30" customHeight="1" x14ac:dyDescent="0.15">
      <c r="A4" s="14"/>
      <c r="B4" s="29"/>
      <c r="E4" s="30"/>
      <c r="I4" s="122">
        <f>I5</f>
        <v>46062</v>
      </c>
      <c r="J4" s="122"/>
      <c r="K4" s="122"/>
      <c r="L4" s="122"/>
      <c r="M4" s="122"/>
      <c r="N4" s="122"/>
      <c r="O4" s="122"/>
      <c r="P4" s="114">
        <f>P5</f>
        <v>46069</v>
      </c>
      <c r="Q4" s="114"/>
      <c r="R4" s="114"/>
      <c r="S4" s="114"/>
      <c r="T4" s="114"/>
      <c r="U4" s="114"/>
      <c r="V4" s="114"/>
      <c r="W4" s="114">
        <f>W5</f>
        <v>46076</v>
      </c>
      <c r="X4" s="114"/>
      <c r="Y4" s="114"/>
      <c r="Z4" s="114"/>
      <c r="AA4" s="114"/>
      <c r="AB4" s="114"/>
      <c r="AC4" s="114"/>
      <c r="AD4" s="114">
        <f>AD5</f>
        <v>46083</v>
      </c>
      <c r="AE4" s="114"/>
      <c r="AF4" s="114"/>
      <c r="AG4" s="114"/>
      <c r="AH4" s="114"/>
      <c r="AI4" s="114"/>
      <c r="AJ4" s="114"/>
      <c r="AK4" s="114">
        <f>AK5</f>
        <v>46090</v>
      </c>
      <c r="AL4" s="114"/>
      <c r="AM4" s="114"/>
      <c r="AN4" s="114"/>
      <c r="AO4" s="114"/>
      <c r="AP4" s="114"/>
      <c r="AQ4" s="114"/>
      <c r="AR4" s="114">
        <f>AR5</f>
        <v>46097</v>
      </c>
      <c r="AS4" s="114"/>
      <c r="AT4" s="114"/>
      <c r="AU4" s="114"/>
      <c r="AV4" s="114"/>
      <c r="AW4" s="114"/>
      <c r="AX4" s="114"/>
      <c r="AY4" s="114">
        <f>AY5</f>
        <v>46104</v>
      </c>
      <c r="AZ4" s="114"/>
      <c r="BA4" s="114"/>
      <c r="BB4" s="114"/>
      <c r="BC4" s="114"/>
      <c r="BD4" s="114"/>
      <c r="BE4" s="114"/>
      <c r="BF4" s="114">
        <f>BF5</f>
        <v>46111</v>
      </c>
      <c r="BG4" s="114"/>
      <c r="BH4" s="114"/>
      <c r="BI4" s="114"/>
      <c r="BJ4" s="114"/>
      <c r="BK4" s="114"/>
      <c r="BL4" s="114"/>
      <c r="BM4" s="114">
        <f>BM5</f>
        <v>46118</v>
      </c>
      <c r="BN4" s="114"/>
      <c r="BO4" s="114"/>
      <c r="BP4" s="114"/>
      <c r="BQ4" s="114"/>
      <c r="BR4" s="114"/>
      <c r="BS4" s="114"/>
      <c r="BT4" s="114">
        <f t="shared" ref="BT4" si="0">BT5</f>
        <v>46125</v>
      </c>
      <c r="BU4" s="114"/>
      <c r="BV4" s="114"/>
      <c r="BW4" s="114"/>
      <c r="BX4" s="114"/>
      <c r="BY4" s="114"/>
      <c r="BZ4" s="114"/>
      <c r="CA4" s="114">
        <f t="shared" ref="CA4" si="1">CA5</f>
        <v>46132</v>
      </c>
      <c r="CB4" s="114"/>
      <c r="CC4" s="114"/>
      <c r="CD4" s="114"/>
      <c r="CE4" s="114"/>
      <c r="CF4" s="114"/>
      <c r="CG4" s="114"/>
      <c r="CH4" s="114">
        <f t="shared" ref="CH4" si="2">CH5</f>
        <v>46139</v>
      </c>
      <c r="CI4" s="114"/>
      <c r="CJ4" s="114"/>
      <c r="CK4" s="114"/>
      <c r="CL4" s="114"/>
      <c r="CM4" s="114"/>
      <c r="CN4" s="114"/>
    </row>
    <row r="5" spans="1:92" s="26" customFormat="1" ht="15" customHeight="1" x14ac:dyDescent="0.15">
      <c r="A5" s="115"/>
      <c r="B5" s="116" t="s">
        <v>4</v>
      </c>
      <c r="C5" s="117" t="s">
        <v>5</v>
      </c>
      <c r="D5" s="118" t="s">
        <v>6</v>
      </c>
      <c r="E5" s="118" t="s">
        <v>7</v>
      </c>
      <c r="F5" s="118" t="s">
        <v>8</v>
      </c>
      <c r="I5" s="31">
        <f>Project_Start-WEEKDAY(Project_Start,1)+2+7*(Display_Week-1)</f>
        <v>46062</v>
      </c>
      <c r="J5" s="31">
        <f>I5+1</f>
        <v>46063</v>
      </c>
      <c r="K5" s="31">
        <f t="shared" ref="K5:AX5" si="3">J5+1</f>
        <v>46064</v>
      </c>
      <c r="L5" s="31">
        <f t="shared" si="3"/>
        <v>46065</v>
      </c>
      <c r="M5" s="31">
        <f t="shared" si="3"/>
        <v>46066</v>
      </c>
      <c r="N5" s="31">
        <f t="shared" si="3"/>
        <v>46067</v>
      </c>
      <c r="O5" s="32">
        <f t="shared" si="3"/>
        <v>46068</v>
      </c>
      <c r="P5" s="33">
        <f>O5+1</f>
        <v>46069</v>
      </c>
      <c r="Q5" s="31">
        <f>P5+1</f>
        <v>46070</v>
      </c>
      <c r="R5" s="31">
        <f t="shared" si="3"/>
        <v>46071</v>
      </c>
      <c r="S5" s="31">
        <f t="shared" si="3"/>
        <v>46072</v>
      </c>
      <c r="T5" s="31">
        <f t="shared" si="3"/>
        <v>46073</v>
      </c>
      <c r="U5" s="31">
        <f t="shared" si="3"/>
        <v>46074</v>
      </c>
      <c r="V5" s="32">
        <f t="shared" si="3"/>
        <v>46075</v>
      </c>
      <c r="W5" s="33">
        <f>V5+1</f>
        <v>46076</v>
      </c>
      <c r="X5" s="31">
        <f>W5+1</f>
        <v>46077</v>
      </c>
      <c r="Y5" s="31">
        <f t="shared" si="3"/>
        <v>46078</v>
      </c>
      <c r="Z5" s="31">
        <f t="shared" si="3"/>
        <v>46079</v>
      </c>
      <c r="AA5" s="31">
        <f t="shared" si="3"/>
        <v>46080</v>
      </c>
      <c r="AB5" s="31">
        <f t="shared" si="3"/>
        <v>46081</v>
      </c>
      <c r="AC5" s="32">
        <f t="shared" si="3"/>
        <v>46082</v>
      </c>
      <c r="AD5" s="33">
        <f>AC5+1</f>
        <v>46083</v>
      </c>
      <c r="AE5" s="31">
        <f>AD5+1</f>
        <v>46084</v>
      </c>
      <c r="AF5" s="31">
        <f t="shared" si="3"/>
        <v>46085</v>
      </c>
      <c r="AG5" s="31">
        <f t="shared" si="3"/>
        <v>46086</v>
      </c>
      <c r="AH5" s="31">
        <f t="shared" si="3"/>
        <v>46087</v>
      </c>
      <c r="AI5" s="31">
        <f t="shared" si="3"/>
        <v>46088</v>
      </c>
      <c r="AJ5" s="32">
        <f t="shared" si="3"/>
        <v>46089</v>
      </c>
      <c r="AK5" s="33">
        <f>AJ5+1</f>
        <v>46090</v>
      </c>
      <c r="AL5" s="31">
        <f>AK5+1</f>
        <v>46091</v>
      </c>
      <c r="AM5" s="31">
        <f t="shared" si="3"/>
        <v>46092</v>
      </c>
      <c r="AN5" s="31">
        <f t="shared" si="3"/>
        <v>46093</v>
      </c>
      <c r="AO5" s="31">
        <f t="shared" si="3"/>
        <v>46094</v>
      </c>
      <c r="AP5" s="31">
        <f t="shared" si="3"/>
        <v>46095</v>
      </c>
      <c r="AQ5" s="32">
        <f t="shared" si="3"/>
        <v>46096</v>
      </c>
      <c r="AR5" s="33">
        <f>AQ5+1</f>
        <v>46097</v>
      </c>
      <c r="AS5" s="31">
        <f>AR5+1</f>
        <v>46098</v>
      </c>
      <c r="AT5" s="31">
        <f t="shared" si="3"/>
        <v>46099</v>
      </c>
      <c r="AU5" s="31">
        <f t="shared" si="3"/>
        <v>46100</v>
      </c>
      <c r="AV5" s="31">
        <f t="shared" si="3"/>
        <v>46101</v>
      </c>
      <c r="AW5" s="31">
        <f t="shared" si="3"/>
        <v>46102</v>
      </c>
      <c r="AX5" s="32">
        <f t="shared" si="3"/>
        <v>46103</v>
      </c>
      <c r="AY5" s="33">
        <f>AX5+1</f>
        <v>46104</v>
      </c>
      <c r="AZ5" s="31">
        <f>AY5+1</f>
        <v>46105</v>
      </c>
      <c r="BA5" s="31">
        <f t="shared" ref="BA5:BE5" si="4">AZ5+1</f>
        <v>46106</v>
      </c>
      <c r="BB5" s="31">
        <f t="shared" si="4"/>
        <v>46107</v>
      </c>
      <c r="BC5" s="31">
        <f t="shared" si="4"/>
        <v>46108</v>
      </c>
      <c r="BD5" s="31">
        <f t="shared" si="4"/>
        <v>46109</v>
      </c>
      <c r="BE5" s="32">
        <f t="shared" si="4"/>
        <v>46110</v>
      </c>
      <c r="BF5" s="33">
        <f>BE5+1</f>
        <v>46111</v>
      </c>
      <c r="BG5" s="31">
        <f>BF5+1</f>
        <v>46112</v>
      </c>
      <c r="BH5" s="31">
        <f t="shared" ref="BH5:BN5" si="5">BG5+1</f>
        <v>46113</v>
      </c>
      <c r="BI5" s="31">
        <f t="shared" si="5"/>
        <v>46114</v>
      </c>
      <c r="BJ5" s="31">
        <f t="shared" si="5"/>
        <v>46115</v>
      </c>
      <c r="BK5" s="31">
        <f t="shared" si="5"/>
        <v>46116</v>
      </c>
      <c r="BL5" s="31">
        <f t="shared" si="5"/>
        <v>46117</v>
      </c>
      <c r="BM5" s="33">
        <f t="shared" si="5"/>
        <v>46118</v>
      </c>
      <c r="BN5" s="31">
        <f t="shared" si="5"/>
        <v>46119</v>
      </c>
      <c r="BO5" s="31">
        <f t="shared" ref="BO5" si="6">BN5+1</f>
        <v>46120</v>
      </c>
      <c r="BP5" s="31">
        <f t="shared" ref="BP5" si="7">BO5+1</f>
        <v>46121</v>
      </c>
      <c r="BQ5" s="31">
        <f t="shared" ref="BQ5" si="8">BP5+1</f>
        <v>46122</v>
      </c>
      <c r="BR5" s="31">
        <f t="shared" ref="BR5" si="9">BQ5+1</f>
        <v>46123</v>
      </c>
      <c r="BS5" s="31">
        <f t="shared" ref="BS5:BU5" si="10">BR5+1</f>
        <v>46124</v>
      </c>
      <c r="BT5" s="33">
        <f t="shared" si="10"/>
        <v>46125</v>
      </c>
      <c r="BU5" s="31">
        <f t="shared" si="10"/>
        <v>46126</v>
      </c>
      <c r="BV5" s="31">
        <f t="shared" ref="BV5" si="11">BU5+1</f>
        <v>46127</v>
      </c>
      <c r="BW5" s="31">
        <f t="shared" ref="BW5" si="12">BV5+1</f>
        <v>46128</v>
      </c>
      <c r="BX5" s="31">
        <f t="shared" ref="BX5" si="13">BW5+1</f>
        <v>46129</v>
      </c>
      <c r="BY5" s="31">
        <f t="shared" ref="BY5" si="14">BX5+1</f>
        <v>46130</v>
      </c>
      <c r="BZ5" s="31">
        <f t="shared" ref="BZ5" si="15">BY5+1</f>
        <v>46131</v>
      </c>
      <c r="CA5" s="33">
        <f t="shared" ref="CA5" si="16">BZ5+1</f>
        <v>46132</v>
      </c>
      <c r="CB5" s="31">
        <f t="shared" ref="CB5" si="17">CA5+1</f>
        <v>46133</v>
      </c>
      <c r="CC5" s="31">
        <f t="shared" ref="CC5" si="18">CB5+1</f>
        <v>46134</v>
      </c>
      <c r="CD5" s="31">
        <f t="shared" ref="CD5" si="19">CC5+1</f>
        <v>46135</v>
      </c>
      <c r="CE5" s="31">
        <f t="shared" ref="CE5" si="20">CD5+1</f>
        <v>46136</v>
      </c>
      <c r="CF5" s="31">
        <f t="shared" ref="CF5" si="21">CE5+1</f>
        <v>46137</v>
      </c>
      <c r="CG5" s="31">
        <f t="shared" ref="CG5" si="22">CF5+1</f>
        <v>46138</v>
      </c>
      <c r="CH5" s="33">
        <f t="shared" ref="CH5" si="23">CG5+1</f>
        <v>46139</v>
      </c>
      <c r="CI5" s="31">
        <f t="shared" ref="CI5" si="24">CH5+1</f>
        <v>46140</v>
      </c>
      <c r="CJ5" s="31">
        <f t="shared" ref="CJ5" si="25">CI5+1</f>
        <v>46141</v>
      </c>
      <c r="CK5" s="31">
        <f t="shared" ref="CK5" si="26">CJ5+1</f>
        <v>46142</v>
      </c>
      <c r="CL5" s="31">
        <f t="shared" ref="CL5" si="27">CK5+1</f>
        <v>46143</v>
      </c>
      <c r="CM5" s="31">
        <f t="shared" ref="CM5" si="28">CL5+1</f>
        <v>46144</v>
      </c>
      <c r="CN5" s="31">
        <f t="shared" ref="CN5" si="29">CM5+1</f>
        <v>46145</v>
      </c>
    </row>
    <row r="6" spans="1:92" s="26" customFormat="1" ht="15" customHeight="1" thickBot="1" x14ac:dyDescent="0.2">
      <c r="A6" s="115"/>
      <c r="B6" s="116"/>
      <c r="C6" s="117"/>
      <c r="D6" s="118"/>
      <c r="E6" s="118"/>
      <c r="F6" s="118"/>
      <c r="I6" s="34" t="str">
        <f t="shared" ref="I6:AN6" si="30">LEFT(TEXT(I5,"ddd"),1)</f>
        <v>M</v>
      </c>
      <c r="J6" s="35" t="str">
        <f t="shared" si="30"/>
        <v>T</v>
      </c>
      <c r="K6" s="35" t="str">
        <f t="shared" si="30"/>
        <v>W</v>
      </c>
      <c r="L6" s="35" t="str">
        <f t="shared" si="30"/>
        <v>T</v>
      </c>
      <c r="M6" s="35" t="str">
        <f t="shared" si="30"/>
        <v>F</v>
      </c>
      <c r="N6" s="35" t="str">
        <f t="shared" si="30"/>
        <v>S</v>
      </c>
      <c r="O6" s="35" t="str">
        <f t="shared" si="30"/>
        <v>S</v>
      </c>
      <c r="P6" s="35" t="str">
        <f t="shared" si="30"/>
        <v>M</v>
      </c>
      <c r="Q6" s="35" t="str">
        <f t="shared" si="30"/>
        <v>T</v>
      </c>
      <c r="R6" s="35" t="str">
        <f t="shared" si="30"/>
        <v>W</v>
      </c>
      <c r="S6" s="35" t="str">
        <f t="shared" si="30"/>
        <v>T</v>
      </c>
      <c r="T6" s="35" t="str">
        <f t="shared" si="30"/>
        <v>F</v>
      </c>
      <c r="U6" s="35" t="str">
        <f t="shared" si="30"/>
        <v>S</v>
      </c>
      <c r="V6" s="35" t="str">
        <f t="shared" si="30"/>
        <v>S</v>
      </c>
      <c r="W6" s="35" t="str">
        <f t="shared" si="30"/>
        <v>M</v>
      </c>
      <c r="X6" s="35" t="str">
        <f t="shared" si="30"/>
        <v>T</v>
      </c>
      <c r="Y6" s="35" t="str">
        <f t="shared" si="30"/>
        <v>W</v>
      </c>
      <c r="Z6" s="35" t="str">
        <f t="shared" si="30"/>
        <v>T</v>
      </c>
      <c r="AA6" s="35" t="str">
        <f t="shared" si="30"/>
        <v>F</v>
      </c>
      <c r="AB6" s="35" t="str">
        <f t="shared" si="30"/>
        <v>S</v>
      </c>
      <c r="AC6" s="35" t="str">
        <f t="shared" si="30"/>
        <v>S</v>
      </c>
      <c r="AD6" s="35" t="str">
        <f t="shared" si="30"/>
        <v>M</v>
      </c>
      <c r="AE6" s="35" t="str">
        <f t="shared" si="30"/>
        <v>T</v>
      </c>
      <c r="AF6" s="35" t="str">
        <f t="shared" si="30"/>
        <v>W</v>
      </c>
      <c r="AG6" s="35" t="str">
        <f t="shared" si="30"/>
        <v>T</v>
      </c>
      <c r="AH6" s="35" t="str">
        <f t="shared" si="30"/>
        <v>F</v>
      </c>
      <c r="AI6" s="35" t="str">
        <f t="shared" si="30"/>
        <v>S</v>
      </c>
      <c r="AJ6" s="35" t="str">
        <f t="shared" si="30"/>
        <v>S</v>
      </c>
      <c r="AK6" s="35" t="str">
        <f t="shared" si="30"/>
        <v>M</v>
      </c>
      <c r="AL6" s="35" t="str">
        <f t="shared" si="30"/>
        <v>T</v>
      </c>
      <c r="AM6" s="35" t="str">
        <f t="shared" si="30"/>
        <v>W</v>
      </c>
      <c r="AN6" s="35" t="str">
        <f t="shared" si="30"/>
        <v>T</v>
      </c>
      <c r="AO6" s="35" t="str">
        <f t="shared" ref="AO6:CN6" si="31">LEFT(TEXT(AO5,"ddd"),1)</f>
        <v>F</v>
      </c>
      <c r="AP6" s="35" t="str">
        <f t="shared" si="31"/>
        <v>S</v>
      </c>
      <c r="AQ6" s="35" t="str">
        <f t="shared" si="31"/>
        <v>S</v>
      </c>
      <c r="AR6" s="35" t="str">
        <f t="shared" si="31"/>
        <v>M</v>
      </c>
      <c r="AS6" s="35" t="str">
        <f t="shared" si="31"/>
        <v>T</v>
      </c>
      <c r="AT6" s="35" t="str">
        <f t="shared" si="31"/>
        <v>W</v>
      </c>
      <c r="AU6" s="35" t="str">
        <f t="shared" si="31"/>
        <v>T</v>
      </c>
      <c r="AV6" s="35" t="str">
        <f t="shared" si="31"/>
        <v>F</v>
      </c>
      <c r="AW6" s="35" t="str">
        <f t="shared" si="31"/>
        <v>S</v>
      </c>
      <c r="AX6" s="35" t="str">
        <f t="shared" si="31"/>
        <v>S</v>
      </c>
      <c r="AY6" s="35" t="str">
        <f t="shared" si="31"/>
        <v>M</v>
      </c>
      <c r="AZ6" s="35" t="str">
        <f t="shared" si="31"/>
        <v>T</v>
      </c>
      <c r="BA6" s="35" t="str">
        <f t="shared" si="31"/>
        <v>W</v>
      </c>
      <c r="BB6" s="35" t="str">
        <f t="shared" si="31"/>
        <v>T</v>
      </c>
      <c r="BC6" s="35" t="str">
        <f t="shared" si="31"/>
        <v>F</v>
      </c>
      <c r="BD6" s="35" t="str">
        <f t="shared" si="31"/>
        <v>S</v>
      </c>
      <c r="BE6" s="35" t="str">
        <f t="shared" si="31"/>
        <v>S</v>
      </c>
      <c r="BF6" s="35" t="str">
        <f t="shared" si="31"/>
        <v>M</v>
      </c>
      <c r="BG6" s="35" t="str">
        <f t="shared" si="31"/>
        <v>T</v>
      </c>
      <c r="BH6" s="35" t="str">
        <f t="shared" si="31"/>
        <v>W</v>
      </c>
      <c r="BI6" s="35" t="str">
        <f t="shared" si="31"/>
        <v>T</v>
      </c>
      <c r="BJ6" s="35" t="str">
        <f t="shared" si="31"/>
        <v>F</v>
      </c>
      <c r="BK6" s="35" t="str">
        <f t="shared" si="31"/>
        <v>S</v>
      </c>
      <c r="BL6" s="36" t="str">
        <f t="shared" si="31"/>
        <v>S</v>
      </c>
      <c r="BM6" s="35" t="str">
        <f t="shared" si="31"/>
        <v>M</v>
      </c>
      <c r="BN6" s="35" t="str">
        <f t="shared" si="31"/>
        <v>T</v>
      </c>
      <c r="BO6" s="35" t="str">
        <f t="shared" si="31"/>
        <v>W</v>
      </c>
      <c r="BP6" s="35" t="str">
        <f t="shared" si="31"/>
        <v>T</v>
      </c>
      <c r="BQ6" s="35" t="str">
        <f t="shared" si="31"/>
        <v>F</v>
      </c>
      <c r="BR6" s="35" t="str">
        <f t="shared" si="31"/>
        <v>S</v>
      </c>
      <c r="BS6" s="36" t="str">
        <f t="shared" si="31"/>
        <v>S</v>
      </c>
      <c r="BT6" s="35" t="str">
        <f t="shared" si="31"/>
        <v>M</v>
      </c>
      <c r="BU6" s="35" t="str">
        <f t="shared" si="31"/>
        <v>T</v>
      </c>
      <c r="BV6" s="35" t="str">
        <f t="shared" si="31"/>
        <v>W</v>
      </c>
      <c r="BW6" s="35" t="str">
        <f t="shared" si="31"/>
        <v>T</v>
      </c>
      <c r="BX6" s="35" t="str">
        <f t="shared" si="31"/>
        <v>F</v>
      </c>
      <c r="BY6" s="35" t="str">
        <f t="shared" si="31"/>
        <v>S</v>
      </c>
      <c r="BZ6" s="36" t="str">
        <f t="shared" si="31"/>
        <v>S</v>
      </c>
      <c r="CA6" s="35" t="str">
        <f t="shared" si="31"/>
        <v>M</v>
      </c>
      <c r="CB6" s="35" t="str">
        <f t="shared" si="31"/>
        <v>T</v>
      </c>
      <c r="CC6" s="35" t="str">
        <f t="shared" si="31"/>
        <v>W</v>
      </c>
      <c r="CD6" s="35" t="str">
        <f t="shared" si="31"/>
        <v>T</v>
      </c>
      <c r="CE6" s="35" t="str">
        <f t="shared" si="31"/>
        <v>F</v>
      </c>
      <c r="CF6" s="35" t="str">
        <f t="shared" si="31"/>
        <v>S</v>
      </c>
      <c r="CG6" s="36" t="str">
        <f t="shared" si="31"/>
        <v>S</v>
      </c>
      <c r="CH6" s="35" t="str">
        <f t="shared" si="31"/>
        <v>M</v>
      </c>
      <c r="CI6" s="35" t="str">
        <f t="shared" si="31"/>
        <v>T</v>
      </c>
      <c r="CJ6" s="35" t="str">
        <f t="shared" si="31"/>
        <v>W</v>
      </c>
      <c r="CK6" s="35" t="str">
        <f t="shared" si="31"/>
        <v>T</v>
      </c>
      <c r="CL6" s="35" t="str">
        <f t="shared" si="31"/>
        <v>F</v>
      </c>
      <c r="CM6" s="35" t="str">
        <f t="shared" si="31"/>
        <v>S</v>
      </c>
      <c r="CN6" s="36" t="str">
        <f t="shared" si="31"/>
        <v>S</v>
      </c>
    </row>
    <row r="7" spans="1:92" s="26" customFormat="1" ht="30" hidden="1" customHeight="1" thickBot="1" x14ac:dyDescent="0.2">
      <c r="A7" s="13" t="s">
        <v>9</v>
      </c>
      <c r="B7" s="37"/>
      <c r="C7" s="38"/>
      <c r="D7" s="37"/>
      <c r="E7" s="37"/>
      <c r="F7" s="37"/>
      <c r="H7" s="26" t="str">
        <f>IF(OR(ISBLANK(task_start),ISBLANK(task_end)),"",task_end-task_start+1)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row>
    <row r="8" spans="1:92" s="46" customFormat="1" ht="30" customHeight="1" thickBot="1" x14ac:dyDescent="0.2">
      <c r="A8" s="14"/>
      <c r="B8" s="40" t="s">
        <v>10</v>
      </c>
      <c r="C8" s="41"/>
      <c r="D8" s="42"/>
      <c r="E8" s="43"/>
      <c r="F8" s="44"/>
      <c r="G8" s="17"/>
      <c r="H8" s="5" t="str">
        <f t="shared" ref="H8:H42" si="32">IF(OR(ISBLANK(task_start),ISBLANK(task_end)),"",task_end-task_start+1)</f>
        <v/>
      </c>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row>
    <row r="9" spans="1:92" s="46" customFormat="1" ht="30" customHeight="1" thickBot="1" x14ac:dyDescent="0.2">
      <c r="A9" s="14"/>
      <c r="B9" s="47" t="s">
        <v>11</v>
      </c>
      <c r="C9" s="48" t="s">
        <v>12</v>
      </c>
      <c r="D9" s="49">
        <v>1</v>
      </c>
      <c r="E9" s="50">
        <f>Project_Start</f>
        <v>46065</v>
      </c>
      <c r="F9" s="50">
        <f>E9</f>
        <v>46065</v>
      </c>
      <c r="G9" s="17"/>
      <c r="H9" s="5">
        <f t="shared" si="32"/>
        <v>1</v>
      </c>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c r="BM9" s="51"/>
      <c r="BN9" s="51"/>
      <c r="BO9" s="51"/>
      <c r="BP9" s="51"/>
      <c r="BQ9" s="51"/>
      <c r="BR9" s="51"/>
      <c r="BS9" s="51"/>
      <c r="BT9" s="51"/>
      <c r="BU9" s="51"/>
      <c r="BV9" s="51"/>
      <c r="BW9" s="51"/>
      <c r="BX9" s="51"/>
      <c r="BY9" s="51"/>
      <c r="BZ9" s="51"/>
      <c r="CA9" s="51"/>
      <c r="CB9" s="51"/>
      <c r="CC9" s="51"/>
      <c r="CD9" s="51"/>
      <c r="CE9" s="51"/>
      <c r="CF9" s="51"/>
      <c r="CG9" s="51"/>
      <c r="CH9" s="51"/>
      <c r="CI9" s="51"/>
      <c r="CJ9" s="51"/>
      <c r="CK9" s="51"/>
      <c r="CL9" s="51"/>
      <c r="CM9" s="51"/>
      <c r="CN9" s="51"/>
    </row>
    <row r="10" spans="1:92" s="46" customFormat="1" ht="30" customHeight="1" thickBot="1" x14ac:dyDescent="0.2">
      <c r="A10" s="14"/>
      <c r="B10" s="52" t="s">
        <v>13</v>
      </c>
      <c r="C10" s="53" t="s">
        <v>14</v>
      </c>
      <c r="D10" s="54">
        <v>1</v>
      </c>
      <c r="E10" s="108">
        <v>46065</v>
      </c>
      <c r="F10" s="55">
        <f>E10</f>
        <v>46065</v>
      </c>
      <c r="G10" s="17"/>
      <c r="H10" s="5">
        <f t="shared" si="32"/>
        <v>1</v>
      </c>
      <c r="I10" s="51"/>
      <c r="J10" s="51"/>
      <c r="K10" s="51"/>
      <c r="L10" s="51"/>
      <c r="M10" s="51"/>
      <c r="N10" s="51"/>
      <c r="O10" s="51"/>
      <c r="P10" s="51"/>
      <c r="Q10" s="51"/>
      <c r="R10" s="51"/>
      <c r="S10" s="51"/>
      <c r="T10" s="51"/>
      <c r="U10" s="56"/>
      <c r="V10" s="56"/>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c r="BM10" s="51"/>
      <c r="BN10" s="51"/>
      <c r="BO10" s="51"/>
      <c r="BP10" s="51"/>
      <c r="BQ10" s="51"/>
      <c r="BR10" s="51"/>
      <c r="BS10" s="51"/>
      <c r="BT10" s="51"/>
      <c r="BU10" s="51"/>
      <c r="BV10" s="51"/>
      <c r="BW10" s="51"/>
      <c r="BX10" s="51"/>
      <c r="BY10" s="51"/>
      <c r="BZ10" s="51"/>
      <c r="CA10" s="51"/>
      <c r="CB10" s="51"/>
      <c r="CC10" s="51"/>
      <c r="CD10" s="51"/>
      <c r="CE10" s="51"/>
      <c r="CF10" s="51"/>
      <c r="CG10" s="51"/>
      <c r="CH10" s="51"/>
      <c r="CI10" s="51"/>
      <c r="CJ10" s="51"/>
      <c r="CK10" s="51"/>
      <c r="CL10" s="51"/>
      <c r="CM10" s="51"/>
      <c r="CN10" s="51"/>
    </row>
    <row r="11" spans="1:92" s="46" customFormat="1" ht="30" customHeight="1" thickBot="1" x14ac:dyDescent="0.2">
      <c r="A11" s="13"/>
      <c r="B11" s="52" t="s">
        <v>15</v>
      </c>
      <c r="C11" s="53" t="s">
        <v>12</v>
      </c>
      <c r="D11" s="54">
        <v>1</v>
      </c>
      <c r="E11" s="55">
        <v>46067</v>
      </c>
      <c r="F11" s="55">
        <v>46067</v>
      </c>
      <c r="G11" s="17"/>
      <c r="H11" s="5">
        <f t="shared" si="32"/>
        <v>1</v>
      </c>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c r="BM11" s="51"/>
      <c r="BN11" s="51"/>
      <c r="BO11" s="51"/>
      <c r="BP11" s="51"/>
      <c r="BQ11" s="51"/>
      <c r="BR11" s="51"/>
      <c r="BS11" s="51"/>
      <c r="BT11" s="51"/>
      <c r="BU11" s="51"/>
      <c r="BV11" s="51"/>
      <c r="BW11" s="51"/>
      <c r="BX11" s="51"/>
      <c r="BY11" s="51"/>
      <c r="BZ11" s="51"/>
      <c r="CA11" s="51"/>
      <c r="CB11" s="51"/>
      <c r="CC11" s="51"/>
      <c r="CD11" s="51"/>
      <c r="CE11" s="51"/>
      <c r="CF11" s="51"/>
      <c r="CG11" s="51"/>
      <c r="CH11" s="51"/>
      <c r="CI11" s="51"/>
      <c r="CJ11" s="51"/>
      <c r="CK11" s="51"/>
      <c r="CL11" s="51"/>
      <c r="CM11" s="51"/>
      <c r="CN11" s="51"/>
    </row>
    <row r="12" spans="1:92" s="46" customFormat="1" ht="30" customHeight="1" thickBot="1" x14ac:dyDescent="0.2">
      <c r="A12" s="13"/>
      <c r="B12" s="52" t="s">
        <v>16</v>
      </c>
      <c r="C12" s="53" t="s">
        <v>14</v>
      </c>
      <c r="D12" s="54">
        <v>1</v>
      </c>
      <c r="E12" s="55">
        <v>46068</v>
      </c>
      <c r="F12" s="55">
        <f>E12</f>
        <v>46068</v>
      </c>
      <c r="G12" s="17"/>
      <c r="H12" s="5">
        <f t="shared" si="32"/>
        <v>1</v>
      </c>
      <c r="I12" s="51"/>
      <c r="J12" s="51"/>
      <c r="K12" s="51"/>
      <c r="L12" s="51"/>
      <c r="M12" s="51"/>
      <c r="N12" s="51"/>
      <c r="O12" s="51"/>
      <c r="P12" s="51"/>
      <c r="Q12" s="51"/>
      <c r="R12" s="51"/>
      <c r="S12" s="51"/>
      <c r="T12" s="51"/>
      <c r="U12" s="51"/>
      <c r="V12" s="51"/>
      <c r="W12" s="51"/>
      <c r="X12" s="51"/>
      <c r="Y12" s="56"/>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c r="BM12" s="51"/>
      <c r="BN12" s="51"/>
      <c r="BO12" s="51"/>
      <c r="BP12" s="51"/>
      <c r="BQ12" s="51"/>
      <c r="BR12" s="51"/>
      <c r="BS12" s="51"/>
      <c r="BT12" s="51"/>
      <c r="BU12" s="51"/>
      <c r="BV12" s="51"/>
      <c r="BW12" s="51"/>
      <c r="BX12" s="51"/>
      <c r="BY12" s="51"/>
      <c r="BZ12" s="51"/>
      <c r="CA12" s="51"/>
      <c r="CB12" s="51"/>
      <c r="CC12" s="51"/>
      <c r="CD12" s="51"/>
      <c r="CE12" s="51"/>
      <c r="CF12" s="51"/>
      <c r="CG12" s="51"/>
      <c r="CH12" s="51"/>
      <c r="CI12" s="51"/>
      <c r="CJ12" s="51"/>
      <c r="CK12" s="51"/>
      <c r="CL12" s="51"/>
      <c r="CM12" s="51"/>
      <c r="CN12" s="51"/>
    </row>
    <row r="13" spans="1:92" s="46" customFormat="1" ht="30" customHeight="1" thickBot="1" x14ac:dyDescent="0.2">
      <c r="A13" s="13"/>
      <c r="B13" s="52" t="s">
        <v>17</v>
      </c>
      <c r="C13" s="53" t="s">
        <v>18</v>
      </c>
      <c r="D13" s="54">
        <v>1</v>
      </c>
      <c r="E13" s="55">
        <v>46070</v>
      </c>
      <c r="F13" s="55">
        <v>46071</v>
      </c>
      <c r="G13" s="17"/>
      <c r="H13" s="5">
        <f t="shared" si="32"/>
        <v>2</v>
      </c>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c r="BO13" s="51"/>
      <c r="BP13" s="51"/>
      <c r="BQ13" s="51"/>
      <c r="BR13" s="51"/>
      <c r="BS13" s="51"/>
      <c r="BT13" s="51"/>
      <c r="BU13" s="51"/>
      <c r="BV13" s="51"/>
      <c r="BW13" s="51"/>
      <c r="BX13" s="51"/>
      <c r="BY13" s="51"/>
      <c r="BZ13" s="51"/>
      <c r="CA13" s="51"/>
      <c r="CB13" s="51"/>
      <c r="CC13" s="51"/>
      <c r="CD13" s="51"/>
      <c r="CE13" s="51"/>
      <c r="CF13" s="51"/>
      <c r="CG13" s="51"/>
      <c r="CH13" s="51"/>
      <c r="CI13" s="51"/>
      <c r="CJ13" s="51"/>
      <c r="CK13" s="51"/>
      <c r="CL13" s="51"/>
      <c r="CM13" s="51"/>
      <c r="CN13" s="51"/>
    </row>
    <row r="14" spans="1:92" s="46" customFormat="1" ht="30" customHeight="1" thickBot="1" x14ac:dyDescent="0.2">
      <c r="A14" s="14"/>
      <c r="B14" s="57" t="s">
        <v>19</v>
      </c>
      <c r="C14" s="58"/>
      <c r="D14" s="59"/>
      <c r="E14" s="60"/>
      <c r="F14" s="61"/>
      <c r="G14" s="17"/>
      <c r="H14" s="5" t="str">
        <f t="shared" si="32"/>
        <v/>
      </c>
    </row>
    <row r="15" spans="1:92" s="46" customFormat="1" ht="30" customHeight="1" thickBot="1" x14ac:dyDescent="0.2">
      <c r="A15" s="14"/>
      <c r="B15" s="62" t="s">
        <v>20</v>
      </c>
      <c r="C15" s="63" t="s">
        <v>21</v>
      </c>
      <c r="D15" s="64">
        <v>1</v>
      </c>
      <c r="E15" s="65">
        <v>46072</v>
      </c>
      <c r="F15" s="65">
        <v>46073</v>
      </c>
      <c r="G15" s="17"/>
      <c r="H15" s="5">
        <f t="shared" si="32"/>
        <v>2</v>
      </c>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c r="BM15" s="51"/>
      <c r="BN15" s="51"/>
      <c r="BO15" s="51"/>
      <c r="BP15" s="51"/>
      <c r="BQ15" s="51"/>
      <c r="BR15" s="51"/>
      <c r="BS15" s="51"/>
      <c r="BT15" s="51"/>
      <c r="BU15" s="51"/>
      <c r="BV15" s="51"/>
      <c r="BW15" s="51"/>
      <c r="BX15" s="51"/>
      <c r="BY15" s="51"/>
      <c r="BZ15" s="51"/>
      <c r="CA15" s="51"/>
      <c r="CB15" s="51"/>
      <c r="CC15" s="51"/>
      <c r="CD15" s="51"/>
      <c r="CE15" s="51"/>
      <c r="CF15" s="51"/>
      <c r="CG15" s="51"/>
      <c r="CH15" s="51"/>
      <c r="CI15" s="51"/>
      <c r="CJ15" s="51"/>
      <c r="CK15" s="51"/>
      <c r="CL15" s="51"/>
      <c r="CM15" s="51"/>
      <c r="CN15" s="51"/>
    </row>
    <row r="16" spans="1:92" s="46" customFormat="1" ht="30" customHeight="1" thickBot="1" x14ac:dyDescent="0.2">
      <c r="A16" s="13"/>
      <c r="B16" s="62" t="s">
        <v>22</v>
      </c>
      <c r="C16" s="63" t="s">
        <v>23</v>
      </c>
      <c r="D16" s="64">
        <v>1</v>
      </c>
      <c r="E16" s="65">
        <v>46074</v>
      </c>
      <c r="F16" s="65">
        <v>46074</v>
      </c>
      <c r="G16" s="17"/>
      <c r="H16" s="5">
        <f t="shared" si="32"/>
        <v>1</v>
      </c>
      <c r="I16" s="51"/>
      <c r="J16" s="51"/>
      <c r="K16" s="51"/>
      <c r="L16" s="51"/>
      <c r="M16" s="51"/>
      <c r="N16" s="51"/>
      <c r="O16" s="51"/>
      <c r="P16" s="51"/>
      <c r="Q16" s="51"/>
      <c r="R16" s="51"/>
      <c r="S16" s="51"/>
      <c r="T16" s="51"/>
      <c r="U16" s="56"/>
      <c r="V16" s="56"/>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51"/>
      <c r="BZ16" s="51"/>
      <c r="CA16" s="51"/>
      <c r="CB16" s="51"/>
      <c r="CC16" s="51"/>
      <c r="CD16" s="51"/>
      <c r="CE16" s="51"/>
      <c r="CF16" s="51"/>
      <c r="CG16" s="51"/>
      <c r="CH16" s="51"/>
      <c r="CI16" s="51"/>
      <c r="CJ16" s="51"/>
      <c r="CK16" s="51"/>
      <c r="CL16" s="51"/>
      <c r="CM16" s="51"/>
      <c r="CN16" s="51"/>
    </row>
    <row r="17" spans="1:92" s="46" customFormat="1" ht="30" customHeight="1" thickBot="1" x14ac:dyDescent="0.2">
      <c r="A17" s="13"/>
      <c r="B17" s="62" t="s">
        <v>24</v>
      </c>
      <c r="C17" s="63" t="s">
        <v>25</v>
      </c>
      <c r="D17" s="64">
        <v>1</v>
      </c>
      <c r="E17" s="65">
        <v>46075</v>
      </c>
      <c r="F17" s="65">
        <v>46076</v>
      </c>
      <c r="G17" s="17"/>
      <c r="H17" s="5">
        <f t="shared" si="32"/>
        <v>2</v>
      </c>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c r="BM17" s="51"/>
      <c r="BN17" s="51"/>
      <c r="BO17" s="51"/>
      <c r="BP17" s="51"/>
      <c r="BQ17" s="51"/>
      <c r="BR17" s="51"/>
      <c r="BS17" s="51"/>
      <c r="BT17" s="51"/>
      <c r="BU17" s="51"/>
      <c r="BV17" s="51"/>
      <c r="BW17" s="51"/>
      <c r="BX17" s="51"/>
      <c r="BY17" s="51"/>
      <c r="BZ17" s="51"/>
      <c r="CA17" s="51"/>
      <c r="CB17" s="51"/>
      <c r="CC17" s="51"/>
      <c r="CD17" s="51"/>
      <c r="CE17" s="51"/>
      <c r="CF17" s="51"/>
      <c r="CG17" s="51"/>
      <c r="CH17" s="51"/>
      <c r="CI17" s="51"/>
      <c r="CJ17" s="51"/>
      <c r="CK17" s="51"/>
      <c r="CL17" s="51"/>
      <c r="CM17" s="51"/>
      <c r="CN17" s="51"/>
    </row>
    <row r="18" spans="1:92" s="46" customFormat="1" ht="30" customHeight="1" thickBot="1" x14ac:dyDescent="0.2">
      <c r="A18" s="13"/>
      <c r="B18" s="62" t="s">
        <v>26</v>
      </c>
      <c r="C18" s="63" t="s">
        <v>25</v>
      </c>
      <c r="D18" s="64">
        <v>1</v>
      </c>
      <c r="E18" s="65">
        <v>46077</v>
      </c>
      <c r="F18" s="65">
        <v>46077</v>
      </c>
      <c r="G18" s="17"/>
      <c r="H18" s="5">
        <f t="shared" si="32"/>
        <v>1</v>
      </c>
      <c r="I18" s="51"/>
      <c r="J18" s="51"/>
      <c r="K18" s="51"/>
      <c r="L18" s="51"/>
      <c r="M18" s="51"/>
      <c r="N18" s="51"/>
      <c r="O18" s="51"/>
      <c r="P18" s="51"/>
      <c r="Q18" s="51"/>
      <c r="R18" s="51"/>
      <c r="S18" s="51"/>
      <c r="T18" s="51"/>
      <c r="U18" s="51"/>
      <c r="V18" s="51"/>
      <c r="W18" s="51"/>
      <c r="X18" s="51"/>
      <c r="Y18" s="56"/>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c r="BM18" s="51"/>
      <c r="BN18" s="51"/>
      <c r="BO18" s="51"/>
      <c r="BP18" s="51"/>
      <c r="BQ18" s="51"/>
      <c r="BR18" s="51"/>
      <c r="BS18" s="51"/>
      <c r="BT18" s="51"/>
      <c r="BU18" s="51"/>
      <c r="BV18" s="51"/>
      <c r="BW18" s="51"/>
      <c r="BX18" s="51"/>
      <c r="BY18" s="51"/>
      <c r="BZ18" s="51"/>
      <c r="CA18" s="51"/>
      <c r="CB18" s="51"/>
      <c r="CC18" s="51"/>
      <c r="CD18" s="51"/>
      <c r="CE18" s="51"/>
      <c r="CF18" s="51"/>
      <c r="CG18" s="51"/>
      <c r="CH18" s="51"/>
      <c r="CI18" s="51"/>
      <c r="CJ18" s="51"/>
      <c r="CK18" s="51"/>
      <c r="CL18" s="51"/>
      <c r="CM18" s="51"/>
      <c r="CN18" s="51"/>
    </row>
    <row r="19" spans="1:92" s="46" customFormat="1" ht="30" customHeight="1" thickBot="1" x14ac:dyDescent="0.2">
      <c r="A19" s="13"/>
      <c r="B19" s="66" t="s">
        <v>27</v>
      </c>
      <c r="C19" s="67"/>
      <c r="D19" s="68"/>
      <c r="E19" s="69"/>
      <c r="F19" s="70"/>
      <c r="G19" s="17"/>
      <c r="H19" s="5" t="str">
        <f t="shared" si="32"/>
        <v/>
      </c>
      <c r="I19" s="71"/>
      <c r="J19" s="71"/>
      <c r="K19" s="71"/>
      <c r="L19" s="71"/>
      <c r="M19" s="71"/>
      <c r="N19" s="71"/>
      <c r="O19" s="71"/>
      <c r="P19" s="71"/>
      <c r="Q19" s="71"/>
      <c r="R19" s="71"/>
      <c r="S19" s="71"/>
      <c r="T19" s="71"/>
      <c r="U19" s="71"/>
      <c r="V19" s="71"/>
      <c r="W19" s="71"/>
      <c r="X19" s="71"/>
      <c r="Y19" s="71"/>
      <c r="Z19" s="71"/>
      <c r="AA19" s="71"/>
      <c r="AB19" s="71"/>
      <c r="AC19" s="71"/>
      <c r="AD19" s="71"/>
      <c r="AE19" s="71"/>
      <c r="AF19" s="71"/>
      <c r="AG19" s="71"/>
      <c r="AH19" s="71"/>
      <c r="AI19" s="71"/>
      <c r="AJ19" s="71"/>
      <c r="AK19" s="71"/>
      <c r="AL19" s="71"/>
      <c r="AM19" s="71"/>
      <c r="AN19" s="71"/>
      <c r="AO19" s="71"/>
      <c r="AP19" s="71"/>
      <c r="AQ19" s="71"/>
      <c r="AR19" s="71"/>
      <c r="AS19" s="71"/>
      <c r="AT19" s="71"/>
      <c r="AU19" s="71"/>
      <c r="AV19" s="71"/>
      <c r="AW19" s="71"/>
      <c r="AX19" s="71"/>
      <c r="AY19" s="71"/>
      <c r="AZ19" s="71"/>
      <c r="BA19" s="71"/>
      <c r="BB19" s="71"/>
      <c r="BC19" s="71"/>
      <c r="BD19" s="71"/>
      <c r="BE19" s="71"/>
      <c r="BF19" s="71"/>
      <c r="BG19" s="71"/>
      <c r="BH19" s="71"/>
      <c r="BI19" s="71"/>
      <c r="BJ19" s="71"/>
      <c r="BK19" s="71"/>
      <c r="BL19" s="71"/>
      <c r="BM19" s="71"/>
      <c r="BN19" s="71"/>
      <c r="BO19" s="71"/>
      <c r="BP19" s="71"/>
      <c r="BQ19" s="71"/>
      <c r="BR19" s="71"/>
      <c r="BS19" s="71"/>
      <c r="BT19" s="71"/>
      <c r="BU19" s="71"/>
      <c r="BV19" s="71"/>
      <c r="BW19" s="71"/>
      <c r="BX19" s="71"/>
      <c r="BY19" s="71"/>
      <c r="BZ19" s="71"/>
      <c r="CA19" s="71"/>
      <c r="CB19" s="71"/>
      <c r="CC19" s="71"/>
      <c r="CD19" s="71"/>
      <c r="CE19" s="71"/>
      <c r="CF19" s="71"/>
      <c r="CG19" s="71"/>
      <c r="CH19" s="71"/>
      <c r="CI19" s="71"/>
      <c r="CJ19" s="71"/>
      <c r="CK19" s="71"/>
      <c r="CL19" s="71"/>
      <c r="CM19" s="71"/>
      <c r="CN19" s="71"/>
    </row>
    <row r="20" spans="1:92" s="46" customFormat="1" ht="30" customHeight="1" thickBot="1" x14ac:dyDescent="0.2">
      <c r="A20" s="13"/>
      <c r="B20" s="72" t="s">
        <v>48</v>
      </c>
      <c r="C20" s="73" t="s">
        <v>25</v>
      </c>
      <c r="D20" s="74">
        <v>1</v>
      </c>
      <c r="E20" s="75">
        <v>46086</v>
      </c>
      <c r="F20" s="75">
        <v>46095</v>
      </c>
      <c r="G20" s="17"/>
      <c r="H20" s="5">
        <f t="shared" si="32"/>
        <v>10</v>
      </c>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c r="BM20" s="51"/>
      <c r="BN20" s="51"/>
      <c r="BO20" s="51"/>
      <c r="BP20" s="51"/>
      <c r="BQ20" s="51"/>
      <c r="BR20" s="51"/>
      <c r="BS20" s="51"/>
      <c r="BT20" s="51"/>
      <c r="BU20" s="51"/>
      <c r="BV20" s="51"/>
      <c r="BW20" s="51"/>
      <c r="BX20" s="51"/>
      <c r="BY20" s="51"/>
      <c r="BZ20" s="51"/>
      <c r="CA20" s="51"/>
      <c r="CB20" s="51"/>
      <c r="CC20" s="51"/>
      <c r="CD20" s="51"/>
      <c r="CE20" s="51"/>
      <c r="CF20" s="51"/>
      <c r="CG20" s="51"/>
      <c r="CH20" s="51"/>
      <c r="CI20" s="51"/>
      <c r="CJ20" s="51"/>
      <c r="CK20" s="51"/>
      <c r="CL20" s="51"/>
      <c r="CM20" s="51"/>
      <c r="CN20" s="51"/>
    </row>
    <row r="21" spans="1:92" s="46" customFormat="1" ht="30" customHeight="1" thickBot="1" x14ac:dyDescent="0.2">
      <c r="A21" s="13"/>
      <c r="B21" s="72" t="s">
        <v>49</v>
      </c>
      <c r="C21" s="73" t="s">
        <v>21</v>
      </c>
      <c r="D21" s="74">
        <v>0</v>
      </c>
      <c r="E21" s="75">
        <v>46096</v>
      </c>
      <c r="F21" s="75">
        <v>46103</v>
      </c>
      <c r="G21" s="17"/>
      <c r="H21" s="5"/>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c r="BM21" s="51"/>
      <c r="BN21" s="51"/>
      <c r="BO21" s="51"/>
      <c r="BP21" s="51"/>
      <c r="BQ21" s="51"/>
      <c r="BR21" s="51"/>
      <c r="BS21" s="51"/>
      <c r="BT21" s="51"/>
      <c r="BU21" s="51"/>
      <c r="BV21" s="51"/>
      <c r="BW21" s="51"/>
      <c r="BX21" s="51"/>
      <c r="BY21" s="51"/>
      <c r="BZ21" s="51"/>
      <c r="CA21" s="51"/>
      <c r="CB21" s="51"/>
      <c r="CC21" s="51"/>
      <c r="CD21" s="51"/>
      <c r="CE21" s="51"/>
      <c r="CF21" s="51"/>
      <c r="CG21" s="51"/>
      <c r="CH21" s="51"/>
      <c r="CI21" s="51"/>
      <c r="CJ21" s="51"/>
      <c r="CK21" s="51"/>
      <c r="CL21" s="51"/>
      <c r="CM21" s="51"/>
      <c r="CN21" s="51"/>
    </row>
    <row r="22" spans="1:92" s="46" customFormat="1" ht="30" customHeight="1" thickBot="1" x14ac:dyDescent="0.2">
      <c r="A22" s="13"/>
      <c r="B22" s="72" t="s">
        <v>50</v>
      </c>
      <c r="C22" s="73" t="s">
        <v>29</v>
      </c>
      <c r="D22" s="74">
        <v>0</v>
      </c>
      <c r="E22" s="75">
        <v>46103</v>
      </c>
      <c r="F22" s="75">
        <v>46106</v>
      </c>
      <c r="G22" s="17"/>
      <c r="H22" s="5">
        <f t="shared" si="32"/>
        <v>4</v>
      </c>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c r="BM22" s="51"/>
      <c r="BN22" s="51"/>
      <c r="BO22" s="51"/>
      <c r="BP22" s="51"/>
      <c r="BQ22" s="51"/>
      <c r="BR22" s="51"/>
      <c r="BS22" s="51"/>
      <c r="BT22" s="51"/>
      <c r="BU22" s="51"/>
      <c r="BV22" s="51"/>
      <c r="BW22" s="51"/>
      <c r="BX22" s="51"/>
      <c r="BY22" s="51"/>
      <c r="BZ22" s="51"/>
      <c r="CA22" s="51"/>
      <c r="CB22" s="51"/>
      <c r="CC22" s="51"/>
      <c r="CD22" s="51"/>
      <c r="CE22" s="51"/>
      <c r="CF22" s="51"/>
      <c r="CG22" s="51"/>
      <c r="CH22" s="51"/>
      <c r="CI22" s="51"/>
      <c r="CJ22" s="51"/>
      <c r="CK22" s="51"/>
      <c r="CL22" s="51"/>
      <c r="CM22" s="51"/>
      <c r="CN22" s="51"/>
    </row>
    <row r="23" spans="1:92" s="46" customFormat="1" ht="30" customHeight="1" thickBot="1" x14ac:dyDescent="0.2">
      <c r="A23" s="13"/>
      <c r="B23" s="72" t="s">
        <v>51</v>
      </c>
      <c r="C23" s="73" t="s">
        <v>29</v>
      </c>
      <c r="D23" s="74">
        <v>0</v>
      </c>
      <c r="E23" s="75">
        <v>46106</v>
      </c>
      <c r="F23" s="75">
        <v>46109</v>
      </c>
      <c r="G23" s="17"/>
      <c r="H23" s="5"/>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c r="BM23" s="51"/>
      <c r="BN23" s="51"/>
      <c r="BO23" s="51"/>
      <c r="BP23" s="51"/>
      <c r="BQ23" s="51"/>
      <c r="BR23" s="51"/>
      <c r="BS23" s="51"/>
      <c r="BT23" s="51"/>
      <c r="BU23" s="51"/>
      <c r="BV23" s="51"/>
      <c r="BW23" s="51"/>
      <c r="BX23" s="51"/>
      <c r="BY23" s="51"/>
      <c r="BZ23" s="51"/>
      <c r="CA23" s="51"/>
      <c r="CB23" s="51"/>
      <c r="CC23" s="51"/>
      <c r="CD23" s="51"/>
      <c r="CE23" s="51"/>
      <c r="CF23" s="51"/>
      <c r="CG23" s="51"/>
      <c r="CH23" s="51"/>
      <c r="CI23" s="51"/>
      <c r="CJ23" s="51"/>
      <c r="CK23" s="51"/>
      <c r="CL23" s="51"/>
      <c r="CM23" s="51"/>
      <c r="CN23" s="51"/>
    </row>
    <row r="24" spans="1:92" s="46" customFormat="1" ht="30" customHeight="1" thickBot="1" x14ac:dyDescent="0.2">
      <c r="A24" s="13"/>
      <c r="B24" s="72" t="s">
        <v>52</v>
      </c>
      <c r="C24" s="73" t="s">
        <v>29</v>
      </c>
      <c r="D24" s="74">
        <v>0</v>
      </c>
      <c r="E24" s="75">
        <v>46109</v>
      </c>
      <c r="F24" s="75">
        <v>46112</v>
      </c>
      <c r="G24" s="17"/>
      <c r="H24" s="5">
        <f t="shared" si="32"/>
        <v>4</v>
      </c>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c r="BM24" s="51"/>
      <c r="BN24" s="51"/>
      <c r="BO24" s="51"/>
      <c r="BP24" s="51"/>
      <c r="BQ24" s="51"/>
      <c r="BR24" s="51"/>
      <c r="BS24" s="51"/>
      <c r="BT24" s="51"/>
      <c r="BU24" s="51"/>
      <c r="BV24" s="51"/>
      <c r="BW24" s="51"/>
      <c r="BX24" s="51"/>
      <c r="BY24" s="51"/>
      <c r="BZ24" s="51"/>
      <c r="CA24" s="51"/>
      <c r="CB24" s="51"/>
      <c r="CC24" s="51"/>
      <c r="CD24" s="51"/>
      <c r="CE24" s="51"/>
      <c r="CF24" s="51"/>
      <c r="CG24" s="51"/>
      <c r="CH24" s="51"/>
      <c r="CI24" s="51"/>
      <c r="CJ24" s="51"/>
      <c r="CK24" s="51"/>
      <c r="CL24" s="51"/>
      <c r="CM24" s="51"/>
      <c r="CN24" s="51"/>
    </row>
    <row r="25" spans="1:92" s="46" customFormat="1" ht="30" customHeight="1" thickBot="1" x14ac:dyDescent="0.2">
      <c r="A25" s="13"/>
      <c r="B25" s="72" t="s">
        <v>53</v>
      </c>
      <c r="C25" s="73" t="s">
        <v>21</v>
      </c>
      <c r="D25" s="74">
        <v>0</v>
      </c>
      <c r="E25" s="75">
        <v>46112</v>
      </c>
      <c r="F25" s="75">
        <v>46115</v>
      </c>
      <c r="G25" s="17"/>
      <c r="H25" s="5"/>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c r="BM25" s="51"/>
      <c r="BN25" s="51"/>
      <c r="BO25" s="51"/>
      <c r="BP25" s="51"/>
      <c r="BQ25" s="51"/>
      <c r="BR25" s="51"/>
      <c r="BS25" s="51"/>
      <c r="BT25" s="51"/>
      <c r="BU25" s="51"/>
      <c r="BV25" s="51"/>
      <c r="BW25" s="51"/>
      <c r="BX25" s="51"/>
      <c r="BY25" s="51"/>
      <c r="BZ25" s="51"/>
      <c r="CA25" s="51"/>
      <c r="CB25" s="51"/>
      <c r="CC25" s="51"/>
      <c r="CD25" s="51"/>
      <c r="CE25" s="51"/>
      <c r="CF25" s="51"/>
      <c r="CG25" s="51"/>
      <c r="CH25" s="51"/>
      <c r="CI25" s="51"/>
      <c r="CJ25" s="51"/>
      <c r="CK25" s="51"/>
      <c r="CL25" s="51"/>
      <c r="CM25" s="51"/>
      <c r="CN25" s="51"/>
    </row>
    <row r="26" spans="1:92" s="46" customFormat="1" ht="30" customHeight="1" thickBot="1" x14ac:dyDescent="0.2">
      <c r="A26" s="13"/>
      <c r="B26" s="72" t="s">
        <v>54</v>
      </c>
      <c r="C26" s="73" t="s">
        <v>28</v>
      </c>
      <c r="D26" s="74">
        <v>0</v>
      </c>
      <c r="E26" s="75">
        <v>46115</v>
      </c>
      <c r="F26" s="75">
        <v>46120</v>
      </c>
      <c r="G26" s="17"/>
      <c r="H26" s="5"/>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c r="AY26" s="51"/>
      <c r="AZ26" s="51"/>
      <c r="BA26" s="51"/>
      <c r="BB26" s="51"/>
      <c r="BC26" s="51"/>
      <c r="BD26" s="51"/>
      <c r="BE26" s="51"/>
      <c r="BF26" s="51"/>
      <c r="BG26" s="51"/>
      <c r="BH26" s="51"/>
      <c r="BI26" s="51"/>
      <c r="BJ26" s="51"/>
      <c r="BK26" s="51"/>
      <c r="BL26" s="51"/>
      <c r="BM26" s="51"/>
      <c r="BN26" s="51"/>
      <c r="BO26" s="51"/>
      <c r="BP26" s="51"/>
      <c r="BQ26" s="51"/>
      <c r="BR26" s="51"/>
      <c r="BS26" s="51"/>
      <c r="BT26" s="51"/>
      <c r="BU26" s="51"/>
      <c r="BV26" s="51"/>
      <c r="BW26" s="51"/>
      <c r="BX26" s="51"/>
      <c r="BY26" s="51"/>
      <c r="BZ26" s="51"/>
      <c r="CA26" s="51"/>
      <c r="CB26" s="51"/>
      <c r="CC26" s="51"/>
      <c r="CD26" s="51"/>
      <c r="CE26" s="51"/>
      <c r="CF26" s="51"/>
      <c r="CG26" s="51"/>
      <c r="CH26" s="51"/>
      <c r="CI26" s="51"/>
      <c r="CJ26" s="51"/>
      <c r="CK26" s="51"/>
      <c r="CL26" s="51"/>
      <c r="CM26" s="51"/>
      <c r="CN26" s="51"/>
    </row>
    <row r="27" spans="1:92" s="46" customFormat="1" ht="30" customHeight="1" thickBot="1" x14ac:dyDescent="0.2">
      <c r="A27" s="13"/>
      <c r="B27" s="72" t="s">
        <v>55</v>
      </c>
      <c r="C27" s="73" t="s">
        <v>29</v>
      </c>
      <c r="D27" s="74">
        <v>0</v>
      </c>
      <c r="E27" s="75">
        <v>46120</v>
      </c>
      <c r="F27" s="75">
        <v>46124</v>
      </c>
      <c r="G27" s="17"/>
      <c r="H27" s="5">
        <f t="shared" si="32"/>
        <v>5</v>
      </c>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c r="BM27" s="51"/>
      <c r="BN27" s="51"/>
      <c r="BO27" s="51"/>
      <c r="BP27" s="51"/>
      <c r="BQ27" s="51"/>
      <c r="BR27" s="51"/>
      <c r="BS27" s="51"/>
      <c r="BT27" s="51"/>
      <c r="BU27" s="51"/>
      <c r="BV27" s="51"/>
      <c r="BW27" s="51"/>
      <c r="BX27" s="51"/>
      <c r="BY27" s="51"/>
      <c r="BZ27" s="51"/>
      <c r="CA27" s="51"/>
      <c r="CB27" s="51"/>
      <c r="CC27" s="51"/>
      <c r="CD27" s="51"/>
      <c r="CE27" s="51"/>
      <c r="CF27" s="51"/>
      <c r="CG27" s="51"/>
      <c r="CH27" s="51"/>
      <c r="CI27" s="51"/>
      <c r="CJ27" s="51"/>
      <c r="CK27" s="51"/>
      <c r="CL27" s="51"/>
      <c r="CM27" s="51"/>
      <c r="CN27" s="51"/>
    </row>
    <row r="28" spans="1:92" s="46" customFormat="1" ht="30" customHeight="1" thickBot="1" x14ac:dyDescent="0.2">
      <c r="A28" s="13"/>
      <c r="B28" s="72" t="s">
        <v>56</v>
      </c>
      <c r="C28" s="73" t="s">
        <v>25</v>
      </c>
      <c r="D28" s="74">
        <v>0</v>
      </c>
      <c r="E28" s="75">
        <v>46124</v>
      </c>
      <c r="F28" s="75">
        <v>46126</v>
      </c>
      <c r="G28" s="17"/>
      <c r="H28" s="5"/>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c r="BM28" s="51"/>
      <c r="BN28" s="51"/>
      <c r="BO28" s="51"/>
      <c r="BP28" s="51"/>
      <c r="BQ28" s="51"/>
      <c r="BR28" s="51"/>
      <c r="BS28" s="51"/>
      <c r="BT28" s="51"/>
      <c r="BU28" s="51"/>
      <c r="BV28" s="51"/>
      <c r="BW28" s="51"/>
      <c r="BX28" s="51"/>
      <c r="BY28" s="51"/>
      <c r="BZ28" s="51"/>
      <c r="CA28" s="51"/>
      <c r="CB28" s="51"/>
      <c r="CC28" s="51"/>
      <c r="CD28" s="51"/>
      <c r="CE28" s="51"/>
      <c r="CF28" s="51"/>
      <c r="CG28" s="51"/>
      <c r="CH28" s="51"/>
      <c r="CI28" s="51"/>
      <c r="CJ28" s="51"/>
      <c r="CK28" s="51"/>
      <c r="CL28" s="51"/>
      <c r="CM28" s="51"/>
      <c r="CN28" s="51"/>
    </row>
    <row r="29" spans="1:92" s="46" customFormat="1" ht="30" customHeight="1" thickBot="1" x14ac:dyDescent="0.2">
      <c r="A29" s="13"/>
      <c r="B29" s="72" t="s">
        <v>57</v>
      </c>
      <c r="C29" s="73" t="s">
        <v>18</v>
      </c>
      <c r="D29" s="74">
        <v>1</v>
      </c>
      <c r="E29" s="75">
        <v>46126</v>
      </c>
      <c r="F29" s="75">
        <v>46127</v>
      </c>
      <c r="G29" s="17"/>
      <c r="H29" s="5"/>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c r="BM29" s="51"/>
      <c r="BN29" s="51"/>
      <c r="BO29" s="51"/>
      <c r="BP29" s="51"/>
      <c r="BQ29" s="51"/>
      <c r="BR29" s="51"/>
      <c r="BS29" s="51"/>
      <c r="BT29" s="51"/>
      <c r="BU29" s="51"/>
      <c r="BV29" s="51"/>
      <c r="BW29" s="51"/>
      <c r="BX29" s="51"/>
      <c r="BY29" s="51"/>
      <c r="BZ29" s="51"/>
      <c r="CA29" s="51"/>
      <c r="CB29" s="51"/>
      <c r="CC29" s="51"/>
      <c r="CD29" s="51"/>
      <c r="CE29" s="51"/>
      <c r="CF29" s="51"/>
      <c r="CG29" s="51"/>
      <c r="CH29" s="51"/>
      <c r="CI29" s="51"/>
      <c r="CJ29" s="51"/>
      <c r="CK29" s="51"/>
      <c r="CL29" s="51"/>
      <c r="CM29" s="51"/>
      <c r="CN29" s="51"/>
    </row>
    <row r="30" spans="1:92" s="46" customFormat="1" ht="30" customHeight="1" thickBot="1" x14ac:dyDescent="0.2">
      <c r="A30" s="13"/>
      <c r="B30" s="109" t="s">
        <v>58</v>
      </c>
      <c r="C30" s="73" t="s">
        <v>14</v>
      </c>
      <c r="D30" s="74">
        <v>0</v>
      </c>
      <c r="E30" s="75">
        <v>46127</v>
      </c>
      <c r="F30" s="75">
        <v>46129</v>
      </c>
      <c r="G30" s="17"/>
      <c r="H30" s="5">
        <f t="shared" si="32"/>
        <v>3</v>
      </c>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c r="BM30" s="51"/>
      <c r="BN30" s="51"/>
      <c r="BO30" s="51"/>
      <c r="BP30" s="51"/>
      <c r="BQ30" s="51"/>
      <c r="BR30" s="51"/>
      <c r="BS30" s="51"/>
      <c r="BT30" s="51"/>
      <c r="BU30" s="51"/>
      <c r="BV30" s="51"/>
      <c r="BW30" s="51"/>
      <c r="BX30" s="51"/>
      <c r="BY30" s="51"/>
      <c r="BZ30" s="51"/>
      <c r="CA30" s="51"/>
      <c r="CB30" s="51"/>
      <c r="CC30" s="51"/>
      <c r="CD30" s="51"/>
      <c r="CE30" s="51"/>
      <c r="CF30" s="51"/>
      <c r="CG30" s="51"/>
      <c r="CH30" s="51"/>
      <c r="CI30" s="51"/>
      <c r="CJ30" s="51"/>
      <c r="CK30" s="51"/>
      <c r="CL30" s="51"/>
      <c r="CM30" s="51"/>
      <c r="CN30" s="51"/>
    </row>
    <row r="31" spans="1:92" s="46" customFormat="1" ht="30" customHeight="1" thickBot="1" x14ac:dyDescent="0.2">
      <c r="A31" s="13"/>
      <c r="B31" s="110" t="s">
        <v>59</v>
      </c>
      <c r="C31" s="111" t="s">
        <v>25</v>
      </c>
      <c r="D31" s="112">
        <v>0</v>
      </c>
      <c r="E31" s="113">
        <v>46129</v>
      </c>
      <c r="F31" s="113">
        <v>46132</v>
      </c>
      <c r="G31" s="17"/>
      <c r="H31" s="5"/>
      <c r="I31" s="81"/>
      <c r="J31" s="81"/>
      <c r="K31" s="81"/>
      <c r="L31" s="81"/>
      <c r="M31" s="81"/>
      <c r="N31" s="81"/>
      <c r="O31" s="81"/>
      <c r="P31" s="81"/>
      <c r="Q31" s="81"/>
      <c r="R31" s="81"/>
      <c r="S31" s="81"/>
      <c r="T31" s="81"/>
      <c r="U31" s="81"/>
      <c r="V31" s="81"/>
      <c r="W31" s="81"/>
      <c r="X31" s="81"/>
      <c r="Y31" s="81"/>
      <c r="Z31" s="81"/>
      <c r="AA31" s="81"/>
      <c r="AB31" s="81"/>
      <c r="AC31" s="81"/>
      <c r="AD31" s="81"/>
      <c r="AE31" s="81"/>
      <c r="AF31" s="81"/>
      <c r="AG31" s="81"/>
      <c r="AH31" s="81"/>
      <c r="AI31" s="81"/>
      <c r="AJ31" s="81"/>
      <c r="AK31" s="81"/>
      <c r="AL31" s="81"/>
      <c r="AM31" s="81"/>
      <c r="AN31" s="81"/>
      <c r="AO31" s="81"/>
      <c r="AP31" s="81"/>
      <c r="AQ31" s="81"/>
      <c r="AR31" s="81"/>
      <c r="AS31" s="81"/>
      <c r="AT31" s="81"/>
      <c r="AU31" s="81"/>
      <c r="AV31" s="81"/>
      <c r="AW31" s="81"/>
      <c r="AX31" s="81"/>
      <c r="AY31" s="81"/>
      <c r="AZ31" s="81"/>
      <c r="BA31" s="81"/>
      <c r="BB31" s="81"/>
      <c r="BC31" s="81"/>
      <c r="BD31" s="81"/>
      <c r="BE31" s="81"/>
      <c r="BF31" s="81"/>
      <c r="BG31" s="81"/>
      <c r="BH31" s="81"/>
      <c r="BI31" s="81"/>
      <c r="BJ31" s="81"/>
      <c r="BK31" s="81"/>
      <c r="BL31" s="81"/>
      <c r="BM31" s="81"/>
      <c r="BN31" s="81"/>
      <c r="BO31" s="81"/>
      <c r="BP31" s="81"/>
      <c r="BQ31" s="81"/>
      <c r="BR31" s="81"/>
      <c r="BS31" s="81"/>
      <c r="BT31" s="81"/>
      <c r="BU31" s="81"/>
      <c r="BV31" s="81"/>
      <c r="BW31" s="81"/>
      <c r="BX31" s="81"/>
      <c r="BY31" s="81"/>
      <c r="BZ31" s="81"/>
      <c r="CA31" s="81"/>
      <c r="CB31" s="81"/>
      <c r="CC31" s="81"/>
      <c r="CD31" s="81"/>
      <c r="CE31" s="81"/>
      <c r="CF31" s="81"/>
      <c r="CG31" s="81"/>
      <c r="CH31" s="81"/>
      <c r="CI31" s="81"/>
      <c r="CJ31" s="81"/>
      <c r="CK31" s="81"/>
      <c r="CL31" s="81"/>
      <c r="CM31" s="81"/>
      <c r="CN31" s="81"/>
    </row>
    <row r="32" spans="1:92" s="46" customFormat="1" ht="30" customHeight="1" thickBot="1" x14ac:dyDescent="0.2">
      <c r="A32" s="13"/>
      <c r="B32" s="110" t="s">
        <v>60</v>
      </c>
      <c r="C32" s="111" t="s">
        <v>64</v>
      </c>
      <c r="D32" s="112">
        <v>0</v>
      </c>
      <c r="E32" s="113">
        <v>46132</v>
      </c>
      <c r="F32" s="113">
        <v>46140</v>
      </c>
      <c r="G32" s="17"/>
      <c r="H32" s="5"/>
      <c r="I32" s="81"/>
      <c r="J32" s="81"/>
      <c r="K32" s="81"/>
      <c r="L32" s="81"/>
      <c r="M32" s="81"/>
      <c r="N32" s="81"/>
      <c r="O32" s="81"/>
      <c r="P32" s="81"/>
      <c r="Q32" s="81"/>
      <c r="R32" s="81"/>
      <c r="S32" s="81"/>
      <c r="T32" s="81"/>
      <c r="U32" s="81"/>
      <c r="V32" s="81"/>
      <c r="W32" s="81"/>
      <c r="X32" s="81"/>
      <c r="Y32" s="81"/>
      <c r="Z32" s="81"/>
      <c r="AA32" s="81"/>
      <c r="AB32" s="81"/>
      <c r="AC32" s="81"/>
      <c r="AD32" s="81"/>
      <c r="AE32" s="81"/>
      <c r="AF32" s="81"/>
      <c r="AG32" s="81"/>
      <c r="AH32" s="81"/>
      <c r="AI32" s="81"/>
      <c r="AJ32" s="81"/>
      <c r="AK32" s="81"/>
      <c r="AL32" s="81"/>
      <c r="AM32" s="81"/>
      <c r="AN32" s="81"/>
      <c r="AO32" s="81"/>
      <c r="AP32" s="81"/>
      <c r="AQ32" s="81"/>
      <c r="AR32" s="81"/>
      <c r="AS32" s="81"/>
      <c r="AT32" s="81"/>
      <c r="AU32" s="81"/>
      <c r="AV32" s="81"/>
      <c r="AW32" s="81"/>
      <c r="AX32" s="81"/>
      <c r="AY32" s="81"/>
      <c r="AZ32" s="81"/>
      <c r="BA32" s="81"/>
      <c r="BB32" s="81"/>
      <c r="BC32" s="81"/>
      <c r="BD32" s="81"/>
      <c r="BE32" s="81"/>
      <c r="BF32" s="81"/>
      <c r="BG32" s="81"/>
      <c r="BH32" s="81"/>
      <c r="BI32" s="81"/>
      <c r="BJ32" s="81"/>
      <c r="BK32" s="81"/>
      <c r="BL32" s="81"/>
      <c r="BM32" s="81"/>
      <c r="BN32" s="81"/>
      <c r="BO32" s="81"/>
      <c r="BP32" s="81"/>
      <c r="BQ32" s="81"/>
      <c r="BR32" s="81"/>
      <c r="BS32" s="81"/>
      <c r="BT32" s="81"/>
      <c r="BU32" s="81"/>
      <c r="BV32" s="81"/>
      <c r="BW32" s="81"/>
      <c r="BX32" s="81"/>
      <c r="BY32" s="81"/>
      <c r="BZ32" s="81"/>
      <c r="CA32" s="81"/>
      <c r="CB32" s="81"/>
      <c r="CC32" s="81"/>
      <c r="CD32" s="81"/>
      <c r="CE32" s="81"/>
      <c r="CF32" s="81"/>
      <c r="CG32" s="81"/>
      <c r="CH32" s="81"/>
      <c r="CI32" s="81"/>
      <c r="CJ32" s="81"/>
      <c r="CK32" s="81"/>
      <c r="CL32" s="81"/>
      <c r="CM32" s="81"/>
      <c r="CN32" s="81"/>
    </row>
    <row r="33" spans="1:92" s="46" customFormat="1" ht="30" customHeight="1" thickBot="1" x14ac:dyDescent="0.2">
      <c r="A33" s="13"/>
      <c r="B33" s="110" t="s">
        <v>61</v>
      </c>
      <c r="C33" s="111" t="s">
        <v>14</v>
      </c>
      <c r="D33" s="112">
        <v>1</v>
      </c>
      <c r="E33" s="113">
        <v>46140</v>
      </c>
      <c r="F33" s="113">
        <v>46143</v>
      </c>
      <c r="G33" s="17"/>
      <c r="H33" s="5"/>
      <c r="I33" s="81"/>
      <c r="J33" s="81"/>
      <c r="K33" s="81"/>
      <c r="L33" s="81"/>
      <c r="M33" s="81"/>
      <c r="N33" s="81"/>
      <c r="O33" s="81"/>
      <c r="P33" s="81"/>
      <c r="Q33" s="81"/>
      <c r="R33" s="81"/>
      <c r="S33" s="81"/>
      <c r="T33" s="81"/>
      <c r="U33" s="81"/>
      <c r="V33" s="81"/>
      <c r="W33" s="81"/>
      <c r="X33" s="81"/>
      <c r="Y33" s="81"/>
      <c r="Z33" s="81"/>
      <c r="AA33" s="81"/>
      <c r="AB33" s="81"/>
      <c r="AC33" s="81"/>
      <c r="AD33" s="81"/>
      <c r="AE33" s="81"/>
      <c r="AF33" s="81"/>
      <c r="AG33" s="81"/>
      <c r="AH33" s="81"/>
      <c r="AI33" s="81"/>
      <c r="AJ33" s="81"/>
      <c r="AK33" s="81"/>
      <c r="AL33" s="81"/>
      <c r="AM33" s="81"/>
      <c r="AN33" s="81"/>
      <c r="AO33" s="81"/>
      <c r="AP33" s="81"/>
      <c r="AQ33" s="81"/>
      <c r="AR33" s="81"/>
      <c r="AS33" s="81"/>
      <c r="AT33" s="81"/>
      <c r="AU33" s="81"/>
      <c r="AV33" s="81"/>
      <c r="AW33" s="81"/>
      <c r="AX33" s="81"/>
      <c r="AY33" s="81"/>
      <c r="AZ33" s="81"/>
      <c r="BA33" s="81"/>
      <c r="BB33" s="81"/>
      <c r="BC33" s="81"/>
      <c r="BD33" s="81"/>
      <c r="BE33" s="81"/>
      <c r="BF33" s="81"/>
      <c r="BG33" s="81"/>
      <c r="BH33" s="81"/>
      <c r="BI33" s="81"/>
      <c r="BJ33" s="81"/>
      <c r="BK33" s="81"/>
      <c r="BL33" s="81"/>
      <c r="BM33" s="81"/>
      <c r="BN33" s="81"/>
      <c r="BO33" s="81"/>
      <c r="BP33" s="81"/>
      <c r="BQ33" s="81"/>
      <c r="BR33" s="81"/>
      <c r="BS33" s="81"/>
      <c r="BT33" s="81"/>
      <c r="BU33" s="81"/>
      <c r="BV33" s="81"/>
      <c r="BW33" s="81"/>
      <c r="BX33" s="81"/>
      <c r="BY33" s="81"/>
      <c r="BZ33" s="81"/>
      <c r="CA33" s="81"/>
      <c r="CB33" s="81"/>
      <c r="CC33" s="81"/>
      <c r="CD33" s="81"/>
      <c r="CE33" s="81"/>
      <c r="CF33" s="81"/>
      <c r="CG33" s="81"/>
      <c r="CH33" s="81"/>
      <c r="CI33" s="81"/>
      <c r="CJ33" s="81"/>
      <c r="CK33" s="81"/>
      <c r="CL33" s="81"/>
      <c r="CM33" s="81"/>
      <c r="CN33" s="81"/>
    </row>
    <row r="34" spans="1:92" s="46" customFormat="1" ht="30" customHeight="1" thickBot="1" x14ac:dyDescent="0.2">
      <c r="A34" s="13"/>
      <c r="B34" s="110" t="s">
        <v>62</v>
      </c>
      <c r="C34" s="111" t="s">
        <v>25</v>
      </c>
      <c r="D34" s="112">
        <v>0</v>
      </c>
      <c r="E34" s="113">
        <v>46143</v>
      </c>
      <c r="F34" s="113">
        <v>46152</v>
      </c>
      <c r="G34" s="17"/>
      <c r="H34" s="5"/>
      <c r="I34" s="81"/>
      <c r="J34" s="81"/>
      <c r="K34" s="81"/>
      <c r="L34" s="81"/>
      <c r="M34" s="81"/>
      <c r="N34" s="81"/>
      <c r="O34" s="81"/>
      <c r="P34" s="81"/>
      <c r="Q34" s="81"/>
      <c r="R34" s="81"/>
      <c r="S34" s="81"/>
      <c r="T34" s="81"/>
      <c r="U34" s="81"/>
      <c r="V34" s="81"/>
      <c r="W34" s="81"/>
      <c r="X34" s="81"/>
      <c r="Y34" s="81"/>
      <c r="Z34" s="81"/>
      <c r="AA34" s="81"/>
      <c r="AB34" s="81"/>
      <c r="AC34" s="81"/>
      <c r="AD34" s="81"/>
      <c r="AE34" s="81"/>
      <c r="AF34" s="81"/>
      <c r="AG34" s="81"/>
      <c r="AH34" s="81"/>
      <c r="AI34" s="81"/>
      <c r="AJ34" s="81"/>
      <c r="AK34" s="81"/>
      <c r="AL34" s="81"/>
      <c r="AM34" s="81"/>
      <c r="AN34" s="81"/>
      <c r="AO34" s="81"/>
      <c r="AP34" s="81"/>
      <c r="AQ34" s="81"/>
      <c r="AR34" s="81"/>
      <c r="AS34" s="81"/>
      <c r="AT34" s="81"/>
      <c r="AU34" s="81"/>
      <c r="AV34" s="81"/>
      <c r="AW34" s="81"/>
      <c r="AX34" s="81"/>
      <c r="AY34" s="81"/>
      <c r="AZ34" s="81"/>
      <c r="BA34" s="81"/>
      <c r="BB34" s="81"/>
      <c r="BC34" s="81"/>
      <c r="BD34" s="81"/>
      <c r="BE34" s="81"/>
      <c r="BF34" s="81"/>
      <c r="BG34" s="81"/>
      <c r="BH34" s="81"/>
      <c r="BI34" s="81"/>
      <c r="BJ34" s="81"/>
      <c r="BK34" s="81"/>
      <c r="BL34" s="81"/>
      <c r="BM34" s="81"/>
      <c r="BN34" s="81"/>
      <c r="BO34" s="81"/>
      <c r="BP34" s="81"/>
      <c r="BQ34" s="81"/>
      <c r="BR34" s="81"/>
      <c r="BS34" s="81"/>
      <c r="BT34" s="81"/>
      <c r="BU34" s="81"/>
      <c r="BV34" s="81"/>
      <c r="BW34" s="81"/>
      <c r="BX34" s="81"/>
      <c r="BY34" s="81"/>
      <c r="BZ34" s="81"/>
      <c r="CA34" s="81"/>
      <c r="CB34" s="81"/>
      <c r="CC34" s="81"/>
      <c r="CD34" s="81"/>
      <c r="CE34" s="81"/>
      <c r="CF34" s="81"/>
      <c r="CG34" s="81"/>
      <c r="CH34" s="81"/>
      <c r="CI34" s="81"/>
      <c r="CJ34" s="81"/>
      <c r="CK34" s="81"/>
      <c r="CL34" s="81"/>
      <c r="CM34" s="81"/>
      <c r="CN34" s="81"/>
    </row>
    <row r="35" spans="1:92" s="46" customFormat="1" ht="30" customHeight="1" thickBot="1" x14ac:dyDescent="0.2">
      <c r="A35" s="13"/>
      <c r="B35" s="110" t="s">
        <v>63</v>
      </c>
      <c r="C35" s="111" t="s">
        <v>21</v>
      </c>
      <c r="D35" s="112">
        <v>0</v>
      </c>
      <c r="E35" s="113">
        <v>46152</v>
      </c>
      <c r="F35" s="113">
        <v>46155</v>
      </c>
      <c r="G35" s="17"/>
      <c r="H35" s="5"/>
      <c r="I35" s="81"/>
      <c r="J35" s="81"/>
      <c r="K35" s="81"/>
      <c r="L35" s="81"/>
      <c r="M35" s="81"/>
      <c r="N35" s="81"/>
      <c r="O35" s="81"/>
      <c r="P35" s="81"/>
      <c r="Q35" s="81"/>
      <c r="R35" s="81"/>
      <c r="S35" s="81"/>
      <c r="T35" s="81"/>
      <c r="U35" s="81"/>
      <c r="V35" s="81"/>
      <c r="W35" s="81"/>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1"/>
      <c r="AV35" s="81"/>
      <c r="AW35" s="81"/>
      <c r="AX35" s="81"/>
      <c r="AY35" s="81"/>
      <c r="AZ35" s="81"/>
      <c r="BA35" s="81"/>
      <c r="BB35" s="81"/>
      <c r="BC35" s="81"/>
      <c r="BD35" s="81"/>
      <c r="BE35" s="81"/>
      <c r="BF35" s="81"/>
      <c r="BG35" s="81"/>
      <c r="BH35" s="81"/>
      <c r="BI35" s="81"/>
      <c r="BJ35" s="81"/>
      <c r="BK35" s="81"/>
      <c r="BL35" s="81"/>
      <c r="BM35" s="81"/>
      <c r="BN35" s="81"/>
      <c r="BO35" s="81"/>
      <c r="BP35" s="81"/>
      <c r="BQ35" s="81"/>
      <c r="BR35" s="81"/>
      <c r="BS35" s="81"/>
      <c r="BT35" s="81"/>
      <c r="BU35" s="81"/>
      <c r="BV35" s="81"/>
      <c r="BW35" s="81"/>
      <c r="BX35" s="81"/>
      <c r="BY35" s="81"/>
      <c r="BZ35" s="81"/>
      <c r="CA35" s="81"/>
      <c r="CB35" s="81"/>
      <c r="CC35" s="81"/>
      <c r="CD35" s="81"/>
      <c r="CE35" s="81"/>
      <c r="CF35" s="81"/>
      <c r="CG35" s="81"/>
      <c r="CH35" s="81"/>
      <c r="CI35" s="81"/>
      <c r="CJ35" s="81"/>
      <c r="CK35" s="81"/>
      <c r="CL35" s="81"/>
      <c r="CM35" s="81"/>
      <c r="CN35" s="81"/>
    </row>
    <row r="36" spans="1:92" s="46" customFormat="1" ht="30" customHeight="1" thickBot="1" x14ac:dyDescent="0.2">
      <c r="A36" s="13"/>
      <c r="B36" s="76" t="s">
        <v>30</v>
      </c>
      <c r="C36" s="77"/>
      <c r="D36" s="78"/>
      <c r="E36" s="79"/>
      <c r="F36" s="80"/>
      <c r="G36" s="17"/>
      <c r="H36" s="5" t="str">
        <f t="shared" si="32"/>
        <v/>
      </c>
      <c r="I36" s="81"/>
      <c r="J36" s="81"/>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c r="AY36" s="81"/>
      <c r="AZ36" s="81"/>
      <c r="BA36" s="81"/>
      <c r="BB36" s="81"/>
      <c r="BC36" s="81"/>
      <c r="BD36" s="81"/>
      <c r="BE36" s="81"/>
      <c r="BF36" s="81"/>
      <c r="BG36" s="81"/>
      <c r="BH36" s="81"/>
      <c r="BI36" s="81"/>
      <c r="BJ36" s="81"/>
      <c r="BK36" s="81"/>
      <c r="BL36" s="81"/>
      <c r="BM36" s="81"/>
      <c r="BN36" s="81"/>
      <c r="BO36" s="81"/>
      <c r="BP36" s="81"/>
      <c r="BQ36" s="81"/>
      <c r="BR36" s="81"/>
      <c r="BS36" s="81"/>
      <c r="BT36" s="81"/>
      <c r="BU36" s="81"/>
      <c r="BV36" s="81"/>
      <c r="BW36" s="81"/>
      <c r="BX36" s="81"/>
      <c r="BY36" s="81"/>
      <c r="BZ36" s="81"/>
      <c r="CA36" s="81"/>
      <c r="CB36" s="81"/>
      <c r="CC36" s="81"/>
      <c r="CD36" s="81"/>
      <c r="CE36" s="81"/>
      <c r="CF36" s="81"/>
      <c r="CG36" s="81"/>
      <c r="CH36" s="81"/>
      <c r="CI36" s="81"/>
      <c r="CJ36" s="81"/>
      <c r="CK36" s="81"/>
      <c r="CL36" s="81"/>
      <c r="CM36" s="81"/>
      <c r="CN36" s="81"/>
    </row>
    <row r="37" spans="1:92" s="46" customFormat="1" ht="30" customHeight="1" thickBot="1" x14ac:dyDescent="0.2">
      <c r="A37" s="13"/>
      <c r="B37" s="82" t="s">
        <v>31</v>
      </c>
      <c r="C37" s="83" t="s">
        <v>25</v>
      </c>
      <c r="D37" s="84">
        <v>0</v>
      </c>
      <c r="E37" s="85">
        <v>46162</v>
      </c>
      <c r="F37" s="85">
        <v>46167</v>
      </c>
      <c r="G37" s="17"/>
      <c r="H37" s="5">
        <f t="shared" si="32"/>
        <v>6</v>
      </c>
      <c r="I37" s="51"/>
      <c r="J37" s="51"/>
      <c r="K37" s="51"/>
      <c r="L37" s="51"/>
      <c r="M37" s="5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1"/>
      <c r="CG37" s="51"/>
      <c r="CH37" s="51"/>
      <c r="CI37" s="51"/>
      <c r="CJ37" s="51"/>
      <c r="CK37" s="51"/>
      <c r="CL37" s="51"/>
      <c r="CM37" s="51"/>
      <c r="CN37" s="51"/>
    </row>
    <row r="38" spans="1:92" s="46" customFormat="1" ht="30" customHeight="1" thickBot="1" x14ac:dyDescent="0.2">
      <c r="A38" s="13"/>
      <c r="B38" s="82" t="s">
        <v>32</v>
      </c>
      <c r="C38" s="83" t="s">
        <v>18</v>
      </c>
      <c r="D38" s="84">
        <v>0</v>
      </c>
      <c r="E38" s="85">
        <f>F37</f>
        <v>46167</v>
      </c>
      <c r="F38" s="85">
        <v>46169</v>
      </c>
      <c r="G38" s="17"/>
      <c r="H38" s="5">
        <f t="shared" si="32"/>
        <v>3</v>
      </c>
      <c r="I38" s="51"/>
      <c r="J38" s="51"/>
      <c r="K38" s="51"/>
      <c r="L38" s="51"/>
      <c r="M38" s="51"/>
      <c r="N38" s="51"/>
      <c r="O38" s="51"/>
      <c r="P38" s="51"/>
      <c r="Q38" s="51"/>
      <c r="R38" s="51"/>
      <c r="S38" s="51"/>
      <c r="T38" s="51"/>
      <c r="U38" s="51"/>
      <c r="V38" s="51"/>
      <c r="W38" s="51"/>
      <c r="X38" s="51"/>
      <c r="Y38" s="51"/>
      <c r="Z38" s="51"/>
      <c r="AA38" s="51"/>
      <c r="AB38" s="51"/>
      <c r="AC38" s="51"/>
      <c r="AD38" s="51"/>
      <c r="AE38" s="51"/>
      <c r="AF38" s="51"/>
      <c r="AG38" s="51"/>
      <c r="AH38" s="51"/>
      <c r="AI38" s="51"/>
      <c r="AJ38" s="51"/>
      <c r="AK38" s="51"/>
      <c r="AL38" s="51"/>
      <c r="AM38" s="51"/>
      <c r="AN38" s="51"/>
      <c r="AO38" s="51"/>
      <c r="AP38" s="51"/>
      <c r="AQ38" s="51"/>
      <c r="AR38" s="51"/>
      <c r="AS38" s="51"/>
      <c r="AT38" s="51"/>
      <c r="AU38" s="51"/>
      <c r="AV38" s="51"/>
      <c r="AW38" s="51"/>
      <c r="AX38" s="51"/>
      <c r="AY38" s="51"/>
      <c r="AZ38" s="51"/>
      <c r="BA38" s="51"/>
      <c r="BB38" s="51"/>
      <c r="BC38" s="51"/>
      <c r="BD38" s="51"/>
      <c r="BE38" s="51"/>
      <c r="BF38" s="51"/>
      <c r="BG38" s="51"/>
      <c r="BH38" s="51"/>
      <c r="BI38" s="51"/>
      <c r="BJ38" s="51"/>
      <c r="BK38" s="51"/>
      <c r="BL38" s="51"/>
      <c r="BM38" s="51"/>
      <c r="BN38" s="51"/>
      <c r="BO38" s="51"/>
      <c r="BP38" s="51"/>
      <c r="BQ38" s="51"/>
      <c r="BR38" s="51"/>
      <c r="BS38" s="51"/>
      <c r="BT38" s="51"/>
      <c r="BU38" s="51"/>
      <c r="BV38" s="51"/>
      <c r="BW38" s="51"/>
      <c r="BX38" s="51"/>
      <c r="BY38" s="51"/>
      <c r="BZ38" s="51"/>
      <c r="CA38" s="51"/>
      <c r="CB38" s="51"/>
      <c r="CC38" s="51"/>
      <c r="CD38" s="51"/>
      <c r="CE38" s="51"/>
      <c r="CF38" s="51"/>
      <c r="CG38" s="51"/>
      <c r="CH38" s="51"/>
      <c r="CI38" s="51"/>
      <c r="CJ38" s="51"/>
      <c r="CK38" s="51"/>
      <c r="CL38" s="51"/>
      <c r="CM38" s="51"/>
      <c r="CN38" s="51"/>
    </row>
    <row r="39" spans="1:92" s="46" customFormat="1" ht="30" customHeight="1" thickBot="1" x14ac:dyDescent="0.2">
      <c r="A39" s="13"/>
      <c r="B39" s="82"/>
      <c r="C39" s="83"/>
      <c r="D39" s="84"/>
      <c r="E39" s="85"/>
      <c r="F39" s="85"/>
      <c r="G39" s="17"/>
      <c r="H39" s="5" t="str">
        <f t="shared" si="32"/>
        <v/>
      </c>
      <c r="I39" s="51"/>
      <c r="J39" s="51"/>
      <c r="K39" s="51"/>
      <c r="L39" s="51"/>
      <c r="M39" s="51"/>
      <c r="N39" s="51"/>
      <c r="O39" s="51"/>
      <c r="P39" s="51"/>
      <c r="Q39" s="51"/>
      <c r="R39" s="51"/>
      <c r="S39" s="51"/>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c r="AV39" s="51"/>
      <c r="AW39" s="51"/>
      <c r="AX39" s="51"/>
      <c r="AY39" s="51"/>
      <c r="AZ39" s="51"/>
      <c r="BA39" s="51"/>
      <c r="BB39" s="51"/>
      <c r="BC39" s="51"/>
      <c r="BD39" s="51"/>
      <c r="BE39" s="51"/>
      <c r="BF39" s="51"/>
      <c r="BG39" s="51"/>
      <c r="BH39" s="51"/>
      <c r="BI39" s="51"/>
      <c r="BJ39" s="51"/>
      <c r="BK39" s="51"/>
      <c r="BL39" s="51"/>
      <c r="BM39" s="51"/>
      <c r="BN39" s="51"/>
      <c r="BO39" s="51"/>
      <c r="BP39" s="51"/>
      <c r="BQ39" s="51"/>
      <c r="BR39" s="51"/>
      <c r="BS39" s="51"/>
      <c r="BT39" s="51"/>
      <c r="BU39" s="51"/>
      <c r="BV39" s="51"/>
      <c r="BW39" s="51"/>
      <c r="BX39" s="51"/>
      <c r="BY39" s="51"/>
      <c r="BZ39" s="51"/>
      <c r="CA39" s="51"/>
      <c r="CB39" s="51"/>
      <c r="CC39" s="51"/>
      <c r="CD39" s="51"/>
      <c r="CE39" s="51"/>
      <c r="CF39" s="51"/>
      <c r="CG39" s="51"/>
      <c r="CH39" s="51"/>
      <c r="CI39" s="51"/>
      <c r="CJ39" s="51"/>
      <c r="CK39" s="51"/>
      <c r="CL39" s="51"/>
      <c r="CM39" s="51"/>
      <c r="CN39" s="51"/>
    </row>
    <row r="40" spans="1:92" s="46" customFormat="1" ht="30" customHeight="1" thickBot="1" x14ac:dyDescent="0.2">
      <c r="A40" s="13"/>
      <c r="B40" s="82"/>
      <c r="C40" s="83"/>
      <c r="D40" s="84"/>
      <c r="E40" s="85"/>
      <c r="F40" s="85"/>
      <c r="G40" s="17"/>
      <c r="H40" s="5" t="str">
        <f t="shared" si="32"/>
        <v/>
      </c>
      <c r="I40" s="51"/>
      <c r="J40" s="51"/>
      <c r="K40" s="51"/>
      <c r="L40" s="51"/>
      <c r="M40" s="51"/>
      <c r="N40" s="51"/>
      <c r="O40" s="51"/>
      <c r="P40" s="51"/>
      <c r="Q40" s="51"/>
      <c r="R40" s="51"/>
      <c r="S40" s="51"/>
      <c r="T40" s="51"/>
      <c r="U40" s="51"/>
      <c r="V40" s="51"/>
      <c r="W40" s="51"/>
      <c r="X40" s="51"/>
      <c r="Y40" s="51"/>
      <c r="Z40" s="51"/>
      <c r="AA40" s="51"/>
      <c r="AB40" s="51"/>
      <c r="AC40" s="51"/>
      <c r="AD40" s="51"/>
      <c r="AE40" s="51"/>
      <c r="AF40" s="51"/>
      <c r="AG40" s="51"/>
      <c r="AH40" s="51"/>
      <c r="AI40" s="51"/>
      <c r="AJ40" s="51"/>
      <c r="AK40" s="51"/>
      <c r="AL40" s="51"/>
      <c r="AM40" s="51"/>
      <c r="AN40" s="51"/>
      <c r="AO40" s="51"/>
      <c r="AP40" s="51"/>
      <c r="AQ40" s="51"/>
      <c r="AR40" s="51"/>
      <c r="AS40" s="51"/>
      <c r="AT40" s="51"/>
      <c r="AU40" s="51"/>
      <c r="AV40" s="51"/>
      <c r="AW40" s="51"/>
      <c r="AX40" s="51"/>
      <c r="AY40" s="51"/>
      <c r="AZ40" s="51"/>
      <c r="BA40" s="51"/>
      <c r="BB40" s="51"/>
      <c r="BC40" s="51"/>
      <c r="BD40" s="51"/>
      <c r="BE40" s="51"/>
      <c r="BF40" s="51"/>
      <c r="BG40" s="51"/>
      <c r="BH40" s="51"/>
      <c r="BI40" s="51"/>
      <c r="BJ40" s="51"/>
      <c r="BK40" s="51"/>
      <c r="BL40" s="51"/>
      <c r="BM40" s="51"/>
      <c r="BN40" s="51"/>
      <c r="BO40" s="51"/>
      <c r="BP40" s="51"/>
      <c r="BQ40" s="51"/>
      <c r="BR40" s="51"/>
      <c r="BS40" s="51"/>
      <c r="BT40" s="51"/>
      <c r="BU40" s="51"/>
      <c r="BV40" s="51"/>
      <c r="BW40" s="51"/>
      <c r="BX40" s="51"/>
      <c r="BY40" s="51"/>
      <c r="BZ40" s="51"/>
      <c r="CA40" s="51"/>
      <c r="CB40" s="51"/>
      <c r="CC40" s="51"/>
      <c r="CD40" s="51"/>
      <c r="CE40" s="51"/>
      <c r="CF40" s="51"/>
      <c r="CG40" s="51"/>
      <c r="CH40" s="51"/>
      <c r="CI40" s="51"/>
      <c r="CJ40" s="51"/>
      <c r="CK40" s="51"/>
      <c r="CL40" s="51"/>
      <c r="CM40" s="51"/>
      <c r="CN40" s="51"/>
    </row>
    <row r="41" spans="1:92" s="46" customFormat="1" ht="30" customHeight="1" thickBot="1" x14ac:dyDescent="0.2">
      <c r="A41" s="13"/>
      <c r="B41" s="86"/>
      <c r="C41" s="87"/>
      <c r="D41" s="88"/>
      <c r="E41" s="89"/>
      <c r="F41" s="89"/>
      <c r="G41" s="17"/>
      <c r="H41" s="5" t="str">
        <f t="shared" si="32"/>
        <v/>
      </c>
      <c r="I41" s="45"/>
      <c r="J41" s="45"/>
      <c r="K41" s="45"/>
      <c r="L41" s="45"/>
      <c r="M41" s="45"/>
      <c r="N41" s="45"/>
      <c r="O41" s="45"/>
      <c r="P41" s="45"/>
      <c r="Q41" s="45"/>
      <c r="R41" s="45"/>
      <c r="S41" s="45"/>
      <c r="T41" s="45"/>
      <c r="U41" s="45"/>
      <c r="V41" s="45"/>
      <c r="W41" s="45"/>
      <c r="X41" s="45"/>
      <c r="Y41" s="45"/>
      <c r="Z41" s="45"/>
      <c r="AA41" s="45"/>
      <c r="AB41" s="45"/>
      <c r="AC41" s="45"/>
      <c r="AD41" s="45"/>
      <c r="AE41" s="45"/>
      <c r="AF41" s="45"/>
      <c r="AG41" s="45"/>
      <c r="AH41" s="45"/>
      <c r="AI41" s="45"/>
      <c r="AJ41" s="45"/>
      <c r="AK41" s="45"/>
      <c r="AL41" s="45"/>
      <c r="AM41" s="45"/>
      <c r="AN41" s="45"/>
      <c r="AO41" s="45"/>
      <c r="AP41" s="45"/>
      <c r="AQ41" s="45"/>
      <c r="AR41" s="45"/>
      <c r="AS41" s="45"/>
      <c r="AT41" s="45"/>
      <c r="AU41" s="45"/>
      <c r="AV41" s="45"/>
      <c r="AW41" s="45"/>
      <c r="AX41" s="45"/>
      <c r="AY41" s="45"/>
      <c r="AZ41" s="45"/>
      <c r="BA41" s="45"/>
      <c r="BB41" s="45"/>
      <c r="BC41" s="45"/>
      <c r="BD41" s="45"/>
      <c r="BE41" s="45"/>
      <c r="BF41" s="45"/>
      <c r="BG41" s="45"/>
      <c r="BH41" s="45"/>
      <c r="BI41" s="45"/>
      <c r="BJ41" s="45"/>
      <c r="BK41" s="45"/>
      <c r="BL41" s="45"/>
    </row>
    <row r="42" spans="1:92" s="46" customFormat="1" ht="30" customHeight="1" thickBot="1" x14ac:dyDescent="0.2">
      <c r="A42" s="13"/>
      <c r="B42" s="90" t="s">
        <v>33</v>
      </c>
      <c r="C42" s="91"/>
      <c r="D42" s="92"/>
      <c r="E42" s="93"/>
      <c r="F42" s="94"/>
      <c r="G42" s="17"/>
      <c r="H42" s="6" t="str">
        <f t="shared" si="32"/>
        <v/>
      </c>
      <c r="I42" s="95"/>
      <c r="J42" s="95"/>
      <c r="K42" s="95"/>
      <c r="L42" s="95"/>
      <c r="M42" s="95"/>
      <c r="N42" s="95"/>
      <c r="O42" s="95"/>
      <c r="P42" s="95"/>
      <c r="Q42" s="95"/>
      <c r="R42" s="95"/>
      <c r="S42" s="95"/>
      <c r="T42" s="95"/>
      <c r="U42" s="95"/>
      <c r="V42" s="95"/>
      <c r="W42" s="95"/>
      <c r="X42" s="95"/>
      <c r="Y42" s="95"/>
      <c r="Z42" s="95"/>
      <c r="AA42" s="95"/>
      <c r="AB42" s="95"/>
      <c r="AC42" s="95"/>
      <c r="AD42" s="95"/>
      <c r="AE42" s="95"/>
      <c r="AF42" s="95"/>
      <c r="AG42" s="95"/>
      <c r="AH42" s="95"/>
      <c r="AI42" s="95"/>
      <c r="AJ42" s="95"/>
      <c r="AK42" s="95"/>
      <c r="AL42" s="95"/>
      <c r="AM42" s="95"/>
      <c r="AN42" s="95"/>
      <c r="AO42" s="95"/>
      <c r="AP42" s="95"/>
      <c r="AQ42" s="95"/>
      <c r="AR42" s="95"/>
      <c r="AS42" s="95"/>
      <c r="AT42" s="95"/>
      <c r="AU42" s="95"/>
      <c r="AV42" s="95"/>
      <c r="AW42" s="95"/>
      <c r="AX42" s="95"/>
      <c r="AY42" s="95"/>
      <c r="AZ42" s="95"/>
      <c r="BA42" s="95"/>
      <c r="BB42" s="95"/>
      <c r="BC42" s="95"/>
      <c r="BD42" s="95"/>
      <c r="BE42" s="95"/>
      <c r="BF42" s="95"/>
      <c r="BG42" s="95"/>
      <c r="BH42" s="95"/>
      <c r="BI42" s="95"/>
      <c r="BJ42" s="95"/>
      <c r="BK42" s="95"/>
      <c r="BL42" s="95"/>
    </row>
    <row r="43" spans="1:92" s="46" customFormat="1" ht="30" customHeight="1" x14ac:dyDescent="0.15">
      <c r="A43" s="13"/>
      <c r="B43" s="106"/>
      <c r="C43"/>
      <c r="D43"/>
      <c r="E43" s="2"/>
      <c r="F43"/>
      <c r="G43" s="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row>
    <row r="44" spans="1:92" s="46" customFormat="1" ht="30" customHeight="1" x14ac:dyDescent="0.15">
      <c r="A44" s="14"/>
      <c r="B44"/>
      <c r="C44" s="16"/>
      <c r="D44"/>
      <c r="E44" s="2"/>
      <c r="F44" s="15"/>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row>
    <row r="45" spans="1:92" ht="30" customHeight="1" x14ac:dyDescent="0.15">
      <c r="C45" s="4"/>
    </row>
    <row r="51" spans="2:2" ht="30" customHeight="1" x14ac:dyDescent="0.15">
      <c r="B51" s="106"/>
    </row>
    <row r="60" spans="2:2" ht="30" customHeight="1" x14ac:dyDescent="0.15">
      <c r="B60" s="106"/>
    </row>
    <row r="65" spans="2:2" ht="30" customHeight="1" x14ac:dyDescent="0.15">
      <c r="B65" s="106"/>
    </row>
    <row r="68" spans="2:2" ht="30" customHeight="1" x14ac:dyDescent="0.15">
      <c r="B68" s="106"/>
    </row>
    <row r="75" spans="2:2" ht="30" customHeight="1" x14ac:dyDescent="0.15">
      <c r="B75" s="107"/>
    </row>
  </sheetData>
  <mergeCells count="22">
    <mergeCell ref="Q2:Z2"/>
    <mergeCell ref="Q1:Z1"/>
    <mergeCell ref="I1:O1"/>
    <mergeCell ref="I2:O2"/>
    <mergeCell ref="BF4:BL4"/>
    <mergeCell ref="I4:O4"/>
    <mergeCell ref="P4:V4"/>
    <mergeCell ref="W4:AC4"/>
    <mergeCell ref="AD4:AJ4"/>
    <mergeCell ref="AK4:AQ4"/>
    <mergeCell ref="AR4:AX4"/>
    <mergeCell ref="AY4:BE4"/>
    <mergeCell ref="BM4:BS4"/>
    <mergeCell ref="BT4:BZ4"/>
    <mergeCell ref="CA4:CG4"/>
    <mergeCell ref="CH4:CN4"/>
    <mergeCell ref="A5:A6"/>
    <mergeCell ref="B5:B6"/>
    <mergeCell ref="C5:C6"/>
    <mergeCell ref="D5:D6"/>
    <mergeCell ref="E5:E6"/>
    <mergeCell ref="F5:F6"/>
  </mergeCells>
  <conditionalFormatting sqref="D7:D42">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9:CN13">
    <cfRule type="expression" dxfId="8" priority="6">
      <formula>AND(task_start&lt;=I$5,ROUNDDOWN((task_end-task_start+1)*task_progress,0)+task_start-1&gt;=I$5)</formula>
    </cfRule>
    <cfRule type="expression" dxfId="7" priority="7" stopIfTrue="1">
      <formula>AND(task_end&gt;=I$5,task_start&lt;J$5)</formula>
    </cfRule>
  </conditionalFormatting>
  <conditionalFormatting sqref="I15:CN18">
    <cfRule type="expression" dxfId="6" priority="4">
      <formula>AND(task_start&lt;=I$5,ROUNDDOWN((task_end-task_start+1)*task_progress,0)+task_start-1&gt;=I$5)</formula>
    </cfRule>
    <cfRule type="expression" dxfId="5" priority="5" stopIfTrue="1">
      <formula>AND(task_end&gt;=I$5,task_start&lt;J$5)</formula>
    </cfRule>
  </conditionalFormatting>
  <conditionalFormatting sqref="I20:CN35">
    <cfRule type="expression" dxfId="4" priority="2">
      <formula>AND(task_start&lt;=I$5,ROUNDDOWN((task_end-task_start+1)*task_progress,0)+task_start-1&gt;=I$5)</formula>
    </cfRule>
    <cfRule type="expression" dxfId="3" priority="3" stopIfTrue="1">
      <formula>AND(task_end&gt;=I$5,task_start&lt;J$5)</formula>
    </cfRule>
  </conditionalFormatting>
  <conditionalFormatting sqref="I37:CN40">
    <cfRule type="expression" dxfId="2" priority="36">
      <formula>AND(task_start&lt;=I$5,ROUNDDOWN((task_end-task_start+1)*task_progress,0)+task_start-1&gt;=I$5)</formula>
    </cfRule>
    <cfRule type="expression" dxfId="1" priority="37" stopIfTrue="1">
      <formula>AND(task_end&gt;=I$5,task_start&lt;J$5)</formula>
    </cfRule>
  </conditionalFormatting>
  <conditionalFormatting sqref="BM4:CN6 I4:BL40 BM9:CN40">
    <cfRule type="expression" dxfId="0" priority="1">
      <formula>AND(TODAY()&gt;=I$5, TODAY()&lt;J$5)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A21" xr:uid="{956902D1-D3B5-416D-BB69-9362D193BC0A}"/>
    <dataValidation allowBlank="1" showInputMessage="1" showErrorMessage="1" prompt="Phase 4's sample block starts in cell B26." sqref="A37"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44"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D7:D42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baseColWidth="10" defaultColWidth="9" defaultRowHeight="13" x14ac:dyDescent="0.15"/>
  <cols>
    <col min="1" max="1" width="87" style="7" customWidth="1"/>
    <col min="2" max="16384" width="9" style="1"/>
  </cols>
  <sheetData>
    <row r="1" spans="1:2" ht="46.5" customHeight="1" x14ac:dyDescent="0.15"/>
    <row r="2" spans="1:2" s="9" customFormat="1" ht="16" x14ac:dyDescent="0.15">
      <c r="A2" s="99" t="s">
        <v>34</v>
      </c>
      <c r="B2" s="8"/>
    </row>
    <row r="3" spans="1:2" s="11" customFormat="1" ht="27" customHeight="1" x14ac:dyDescent="0.15">
      <c r="A3" s="100"/>
      <c r="B3" s="12"/>
    </row>
    <row r="4" spans="1:2" s="10" customFormat="1" ht="31" x14ac:dyDescent="0.45">
      <c r="A4" s="101" t="s">
        <v>35</v>
      </c>
    </row>
    <row r="5" spans="1:2" ht="74.25" customHeight="1" x14ac:dyDescent="0.15">
      <c r="A5" s="102" t="s">
        <v>36</v>
      </c>
    </row>
    <row r="6" spans="1:2" ht="26.25" customHeight="1" x14ac:dyDescent="0.15">
      <c r="A6" s="101" t="s">
        <v>37</v>
      </c>
    </row>
    <row r="7" spans="1:2" s="7" customFormat="1" ht="205.25" customHeight="1" x14ac:dyDescent="0.15">
      <c r="A7" s="103" t="s">
        <v>38</v>
      </c>
    </row>
    <row r="8" spans="1:2" s="10" customFormat="1" ht="31" x14ac:dyDescent="0.45">
      <c r="A8" s="101" t="s">
        <v>39</v>
      </c>
    </row>
    <row r="9" spans="1:2" ht="60" x14ac:dyDescent="0.15">
      <c r="A9" s="102" t="s">
        <v>40</v>
      </c>
    </row>
    <row r="10" spans="1:2" s="7" customFormat="1" ht="28.25" customHeight="1" x14ac:dyDescent="0.15">
      <c r="A10" s="104" t="s">
        <v>41</v>
      </c>
    </row>
    <row r="11" spans="1:2" s="10" customFormat="1" ht="31" x14ac:dyDescent="0.45">
      <c r="A11" s="101" t="s">
        <v>42</v>
      </c>
    </row>
    <row r="12" spans="1:2" ht="30" x14ac:dyDescent="0.15">
      <c r="A12" s="102" t="s">
        <v>43</v>
      </c>
    </row>
    <row r="13" spans="1:2" s="7" customFormat="1" ht="28.25" customHeight="1" x14ac:dyDescent="0.15">
      <c r="A13" s="104" t="s">
        <v>44</v>
      </c>
    </row>
    <row r="14" spans="1:2" s="10" customFormat="1" ht="31" x14ac:dyDescent="0.45">
      <c r="A14" s="101" t="s">
        <v>45</v>
      </c>
    </row>
    <row r="15" spans="1:2" ht="75" customHeight="1" x14ac:dyDescent="0.15">
      <c r="A15" s="102" t="s">
        <v>46</v>
      </c>
    </row>
    <row r="16" spans="1:2" ht="75" x14ac:dyDescent="0.15">
      <c r="A16" s="102" t="s">
        <v>47</v>
      </c>
    </row>
    <row r="17" spans="1:1" x14ac:dyDescent="0.15">
      <c r="A17" s="105"/>
    </row>
    <row r="18" spans="1:1" x14ac:dyDescent="0.15">
      <c r="A18" s="105"/>
    </row>
    <row r="19" spans="1:1" x14ac:dyDescent="0.15">
      <c r="A19" s="105"/>
    </row>
    <row r="20" spans="1:1" x14ac:dyDescent="0.15">
      <c r="A20" s="105"/>
    </row>
    <row r="21" spans="1:1" x14ac:dyDescent="0.15">
      <c r="A21" s="105"/>
    </row>
    <row r="22" spans="1:1" x14ac:dyDescent="0.15">
      <c r="A22" s="105"/>
    </row>
    <row r="23" spans="1:1" x14ac:dyDescent="0.15">
      <c r="A23" s="105"/>
    </row>
    <row r="24" spans="1:1" x14ac:dyDescent="0.15">
      <c r="A24" s="105"/>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F64CEA9CFD2842BB48C556EE8DE048" ma:contentTypeVersion="10" ma:contentTypeDescription="Create a new document." ma:contentTypeScope="" ma:versionID="4b39a494dddfcff98277c4830fd600f3">
  <xsd:schema xmlns:xsd="http://www.w3.org/2001/XMLSchema" xmlns:xs="http://www.w3.org/2001/XMLSchema" xmlns:p="http://schemas.microsoft.com/office/2006/metadata/properties" xmlns:ns2="11e6f0ea-a072-4a63-b357-af61f229d341" xmlns:ns3="fbaf4423-f259-4166-99fa-0ba80b16a7f6" targetNamespace="http://schemas.microsoft.com/office/2006/metadata/properties" ma:root="true" ma:fieldsID="d725a30980b7c0c7c7af93e44392d993" ns2:_="" ns3:_="">
    <xsd:import namespace="11e6f0ea-a072-4a63-b357-af61f229d341"/>
    <xsd:import namespace="fbaf4423-f259-4166-99fa-0ba80b16a7f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1e6f0ea-a072-4a63-b357-af61f229d34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85f2e87-4026-446b-81f8-a3f147762a1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baf4423-f259-4166-99fa-0ba80b16a7f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430f7e8-0625-4886-b60a-e6cb2de4fb2d}" ma:internalName="TaxCatchAll" ma:showField="CatchAllData" ma:web="fbaf4423-f259-4166-99fa-0ba80b16a7f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baf4423-f259-4166-99fa-0ba80b16a7f6" xsi:nil="true"/>
    <lcf76f155ced4ddcb4097134ff3c332f xmlns="11e6f0ea-a072-4a63-b357-af61f229d34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B1919BD-A1D1-4BBC-B83F-10EAC555B5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1e6f0ea-a072-4a63-b357-af61f229d341"/>
    <ds:schemaRef ds:uri="fbaf4423-f259-4166-99fa-0ba80b16a7f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A82239A0-E68C-493F-BEE6-C77FEA397FD6}">
  <ds:schemaRefs>
    <ds:schemaRef ds:uri="http://schemas.microsoft.com/office/2006/documentManagement/types"/>
    <ds:schemaRef ds:uri="fbaf4423-f259-4166-99fa-0ba80b16a7f6"/>
    <ds:schemaRef ds:uri="http://purl.org/dc/dcmitype/"/>
    <ds:schemaRef ds:uri="http://schemas.microsoft.com/office/infopath/2007/PartnerControls"/>
    <ds:schemaRef ds:uri="http://purl.org/dc/elements/1.1/"/>
    <ds:schemaRef ds:uri="http://purl.org/dc/terms/"/>
    <ds:schemaRef ds:uri="http://schemas.openxmlformats.org/package/2006/metadata/core-properties"/>
    <ds:schemaRef ds:uri="11e6f0ea-a072-4a63-b357-af61f229d341"/>
    <ds:schemaRef ds:uri="http://schemas.microsoft.com/office/2006/metadata/properties"/>
    <ds:schemaRef ds:uri="http://www.w3.org/XML/1998/namespac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Macintosh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Eamon Wong - Student</cp:lastModifiedBy>
  <cp:revision/>
  <dcterms:created xsi:type="dcterms:W3CDTF">2022-03-11T22:41:12Z</dcterms:created>
  <dcterms:modified xsi:type="dcterms:W3CDTF">2026-04-08T07:47:32Z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0x01010081F64CEA9CFD2842BB48C556EE8DE048</vt:lpwstr>
  </property>
  <property fmtid="{D5CDD505-2E9C-101B-9397-08002B2CF9AE}" pid="3" name="MediaServiceImageTags">
    <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_activity">
    <vt:lpwstr>{"FileActivityType":"9","FileActivityTimeStamp":"2026-03-03T07:46:39.750Z","FileActivityUsersOnPage":[{"DisplayName":"Eamon Wong - Student","Id":"wong_ea@student.kings.edu.au"}],"FileActivityNavigationId":null}</vt:lpwstr>
  </property>
  <property fmtid="{D5CDD505-2E9C-101B-9397-08002B2CF9AE}" pid="9" name="TriggerFlowInfo">
    <vt:lpwstr/>
  </property>
</Properties>
</file>